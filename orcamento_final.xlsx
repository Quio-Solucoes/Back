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16825\ML\Archi\Arquitetura\"/>
    </mc:Choice>
  </mc:AlternateContent>
  <xr:revisionPtr revIDLastSave="0" documentId="13_ncr:1_{EE0381FC-2296-4818-B229-1C2B4DAF0D3F}" xr6:coauthVersionLast="47" xr6:coauthVersionMax="47" xr10:uidLastSave="{00000000-0000-0000-0000-000000000000}"/>
  <bookViews>
    <workbookView xWindow="28680" yWindow="-120" windowWidth="29040" windowHeight="15720" activeTab="3" xr2:uid="{08E9E820-2A4A-4162-81A9-F9552BDB65F7}"/>
  </bookViews>
  <sheets>
    <sheet name="personalizacoes" sheetId="8" r:id="rId1"/>
    <sheet name="balcoes" sheetId="5" r:id="rId2"/>
    <sheet name="precos_base" sheetId="9" r:id="rId3"/>
    <sheet name="componentes" sheetId="3" r:id="rId4"/>
    <sheet name="catalogo_componentes" sheetId="10" r:id="rId5"/>
  </sheets>
  <definedNames>
    <definedName name="_xlnm._FilterDatabase" localSheetId="3" hidden="1">componentes!$A$1:$I$25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J4" i="5"/>
  <c r="J3" i="5"/>
  <c r="J2" i="5"/>
  <c r="J14" i="3"/>
  <c r="J13" i="3"/>
  <c r="J11" i="3"/>
  <c r="J10" i="3"/>
  <c r="J9" i="3"/>
  <c r="J8" i="3"/>
  <c r="J7" i="3"/>
  <c r="J6" i="3"/>
</calcChain>
</file>

<file path=xl/sharedStrings.xml><?xml version="1.0" encoding="utf-8"?>
<sst xmlns="http://schemas.openxmlformats.org/spreadsheetml/2006/main" count="237" uniqueCount="105">
  <si>
    <t>Superior</t>
  </si>
  <si>
    <t>MDP</t>
  </si>
  <si>
    <t>Puxador</t>
  </si>
  <si>
    <t>Zen</t>
  </si>
  <si>
    <t>id</t>
  </si>
  <si>
    <t>nome</t>
  </si>
  <si>
    <t>tipo</t>
  </si>
  <si>
    <t>descricao</t>
  </si>
  <si>
    <t>Inferior</t>
  </si>
  <si>
    <t>balcao_id</t>
  </si>
  <si>
    <t>componente</t>
  </si>
  <si>
    <t>quantidade</t>
  </si>
  <si>
    <t>cor_padrao</t>
  </si>
  <si>
    <t>fornecedor_padrao</t>
  </si>
  <si>
    <t>preco_unitario</t>
  </si>
  <si>
    <t>dobradiça</t>
  </si>
  <si>
    <t>puxador</t>
  </si>
  <si>
    <t>frente</t>
  </si>
  <si>
    <t>acessorio</t>
  </si>
  <si>
    <t>cinza</t>
  </si>
  <si>
    <t>Dobradica FGV Reta Amort</t>
  </si>
  <si>
    <t>dourado matte</t>
  </si>
  <si>
    <t>Puxador Zen Cup</t>
  </si>
  <si>
    <t>branco</t>
  </si>
  <si>
    <t>MDP Reta</t>
  </si>
  <si>
    <t>Porta Superior Reta MDP</t>
  </si>
  <si>
    <t>protetor</t>
  </si>
  <si>
    <t>stucco</t>
  </si>
  <si>
    <t>Prateleira Movel Aereo MDP 18.3</t>
  </si>
  <si>
    <t>movel</t>
  </si>
  <si>
    <t>prateleira</t>
  </si>
  <si>
    <t>Prateleira Movel Panel MDP 18.3</t>
  </si>
  <si>
    <t>Divisoria Balcao MDP 18.3</t>
  </si>
  <si>
    <t>divisoria</t>
  </si>
  <si>
    <t xml:space="preserve">Ripa Amaracao Cozinha MDP </t>
  </si>
  <si>
    <t>Porta Bal Cuba Dobrad Reta MDP RETA</t>
  </si>
  <si>
    <t>Protetor Stucco Prateleiras</t>
  </si>
  <si>
    <t>ripa</t>
  </si>
  <si>
    <t>Balcao 1 Basc e 1 Gav Edit MDP 18.3</t>
  </si>
  <si>
    <t>Console Deslizante Coplanar 1Pta MDP 18.3</t>
  </si>
  <si>
    <t>Balcao 2 portas cuba MDP 18mm</t>
  </si>
  <si>
    <t>Aereo superior 2 portas</t>
  </si>
  <si>
    <t>Dobradica FGV Curva Roup Amort</t>
  </si>
  <si>
    <t>Corredica Clip HAFELE GT2 Abert Total Amort 500</t>
  </si>
  <si>
    <t>cor_alternativa</t>
  </si>
  <si>
    <t>FGV Reta</t>
  </si>
  <si>
    <t>FGV Curva</t>
  </si>
  <si>
    <t>PUX.BALI 64MM PRETO</t>
  </si>
  <si>
    <t>Preto</t>
  </si>
  <si>
    <t xml:space="preserve">Zen  </t>
  </si>
  <si>
    <t xml:space="preserve">Zen </t>
  </si>
  <si>
    <t>Corrediça</t>
  </si>
  <si>
    <t>HAFELE Clip</t>
  </si>
  <si>
    <t>Pistao a Gas Forca Inversa 60N</t>
  </si>
  <si>
    <t>Pistao a gás</t>
  </si>
  <si>
    <t>Força Inversa 60N</t>
  </si>
  <si>
    <t>Caixa Gav Invis Fre Chapa MDP 15.3</t>
  </si>
  <si>
    <t>gaveta</t>
  </si>
  <si>
    <t>HAFELE Invisivel</t>
  </si>
  <si>
    <t>aluminio</t>
  </si>
  <si>
    <t>Ripa de Sustentacao MDP</t>
  </si>
  <si>
    <t>preto</t>
  </si>
  <si>
    <t>Frente Gav Acessorios MDP RETA</t>
  </si>
  <si>
    <t>Aluminio</t>
  </si>
  <si>
    <t>Porta Basc Inversa MDP RETA</t>
  </si>
  <si>
    <t>MDP Reta Inversa</t>
  </si>
  <si>
    <t>Rodizios 1 Porta Coplanar Linea</t>
  </si>
  <si>
    <t>Rodizio coplanar</t>
  </si>
  <si>
    <t>Linea</t>
  </si>
  <si>
    <t>Porta Console Coplanar RETA_ALU</t>
  </si>
  <si>
    <t xml:space="preserve">Console coplanar </t>
  </si>
  <si>
    <t>Prateleira Interna Console MDP</t>
  </si>
  <si>
    <t>Console MDP</t>
  </si>
  <si>
    <t>fornecedor_alternativo</t>
  </si>
  <si>
    <t>preco_diferenca</t>
  </si>
  <si>
    <t>preco_base</t>
  </si>
  <si>
    <t>Balcao Inferior</t>
  </si>
  <si>
    <t>Balcao Superior</t>
  </si>
  <si>
    <t>Balcao Inferior basculante</t>
  </si>
  <si>
    <t>Balcao Superior  Console Deslizante Coplanar</t>
  </si>
  <si>
    <t>marca_alternativa</t>
  </si>
  <si>
    <t>marca_padrao</t>
  </si>
  <si>
    <t>Total</t>
  </si>
  <si>
    <t>Dimensão</t>
  </si>
  <si>
    <t>70x15x30</t>
  </si>
  <si>
    <t>material</t>
  </si>
  <si>
    <t>cor</t>
  </si>
  <si>
    <t>L_mm</t>
  </si>
  <si>
    <t>A_mm</t>
  </si>
  <si>
    <t>P_mm</t>
  </si>
  <si>
    <t>area</t>
  </si>
  <si>
    <t>BRA</t>
  </si>
  <si>
    <t>BEM</t>
  </si>
  <si>
    <t>movel_id</t>
  </si>
  <si>
    <t>MDF</t>
  </si>
  <si>
    <t>AME</t>
  </si>
  <si>
    <t>categoria_funcional</t>
  </si>
  <si>
    <t>categoria_grupo</t>
  </si>
  <si>
    <t>observação</t>
  </si>
  <si>
    <t>PUX01</t>
  </si>
  <si>
    <t>PUX02</t>
  </si>
  <si>
    <t>Puxador Zen dourado</t>
  </si>
  <si>
    <t>Puxador zen preto</t>
  </si>
  <si>
    <t>DRB01</t>
  </si>
  <si>
    <t>DRB02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</si>
</sst>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AF89-A6C4-495A-A1FE-478128507059}">
  <dimension ref="A1:E5"/>
  <sheetViews>
    <sheetView workbookViewId="0">
      <selection activeCell="E2" sqref="E2:E3"/>
    </sheetView>
  </sheetViews>
  <sheetFormatPr defaultRowHeight="14.5" x14ac:dyDescent="0.35"/>
  <cols>
    <col min="1" max="1" width="14.81640625" customWidth="1"/>
    <col min="2" max="2" width="18.6328125" customWidth="1"/>
    <col min="3" max="3" width="19.26953125" customWidth="1"/>
    <col min="4" max="4" width="22.453125" customWidth="1"/>
    <col min="5" max="5" width="17.26953125" customWidth="1"/>
  </cols>
  <sheetData>
    <row r="1" spans="1:5" x14ac:dyDescent="0.35">
      <c r="A1" t="s">
        <v>10</v>
      </c>
      <c r="B1" t="s">
        <v>80</v>
      </c>
      <c r="C1" t="s">
        <v>44</v>
      </c>
      <c r="D1" t="s">
        <v>73</v>
      </c>
      <c r="E1" t="s">
        <v>74</v>
      </c>
    </row>
    <row r="2" spans="1:5" x14ac:dyDescent="0.35">
      <c r="A2" t="s">
        <v>15</v>
      </c>
      <c r="B2" t="s">
        <v>46</v>
      </c>
      <c r="C2" t="s">
        <v>23</v>
      </c>
      <c r="E2">
        <v>43.93</v>
      </c>
    </row>
    <row r="3" spans="1:5" x14ac:dyDescent="0.35">
      <c r="A3" t="s">
        <v>15</v>
      </c>
      <c r="B3" t="s">
        <v>45</v>
      </c>
      <c r="C3" t="s">
        <v>23</v>
      </c>
      <c r="E3">
        <v>43.51</v>
      </c>
    </row>
    <row r="4" spans="1:5" x14ac:dyDescent="0.35">
      <c r="A4" t="s">
        <v>2</v>
      </c>
      <c r="B4" t="s">
        <v>50</v>
      </c>
      <c r="C4" t="s">
        <v>48</v>
      </c>
      <c r="E4">
        <v>180.88</v>
      </c>
    </row>
    <row r="5" spans="1:5" x14ac:dyDescent="0.35">
      <c r="A5" t="s">
        <v>16</v>
      </c>
      <c r="B5" t="s">
        <v>49</v>
      </c>
      <c r="C5" t="s">
        <v>21</v>
      </c>
      <c r="E5">
        <v>130.24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371-154F-4775-8439-51EADD65F281}">
  <dimension ref="A1:K5"/>
  <sheetViews>
    <sheetView workbookViewId="0">
      <selection activeCell="F5" sqref="F5"/>
    </sheetView>
  </sheetViews>
  <sheetFormatPr defaultRowHeight="14.5" x14ac:dyDescent="0.35"/>
  <cols>
    <col min="1" max="1" width="12.6328125" customWidth="1"/>
    <col min="2" max="2" width="41.08984375" customWidth="1"/>
    <col min="3" max="3" width="10.453125" customWidth="1"/>
    <col min="4" max="4" width="20.08984375" customWidth="1"/>
    <col min="5" max="5" width="43.6328125" customWidth="1"/>
  </cols>
  <sheetData>
    <row r="1" spans="1:11" x14ac:dyDescent="0.35">
      <c r="A1" t="s">
        <v>4</v>
      </c>
      <c r="B1" t="s">
        <v>5</v>
      </c>
      <c r="C1" t="s">
        <v>6</v>
      </c>
      <c r="D1" t="s">
        <v>85</v>
      </c>
      <c r="E1" t="s">
        <v>86</v>
      </c>
      <c r="F1" t="s">
        <v>75</v>
      </c>
      <c r="G1" s="2" t="s">
        <v>87</v>
      </c>
      <c r="H1" s="2" t="s">
        <v>88</v>
      </c>
      <c r="I1" s="2" t="s">
        <v>89</v>
      </c>
      <c r="J1" s="2" t="s">
        <v>90</v>
      </c>
      <c r="K1" t="s">
        <v>7</v>
      </c>
    </row>
    <row r="2" spans="1:11" x14ac:dyDescent="0.35">
      <c r="A2">
        <v>1</v>
      </c>
      <c r="B2" t="s">
        <v>76</v>
      </c>
      <c r="C2" t="s">
        <v>8</v>
      </c>
      <c r="D2" t="s">
        <v>1</v>
      </c>
      <c r="E2" t="s">
        <v>91</v>
      </c>
      <c r="F2" s="1">
        <v>1018.69</v>
      </c>
      <c r="G2" s="1">
        <v>800</v>
      </c>
      <c r="H2" s="1">
        <v>660</v>
      </c>
      <c r="I2" s="1">
        <v>577</v>
      </c>
      <c r="J2" s="3">
        <f>((2*G2*H2)+(F2*G2)+(3*F2*H2))/1000000</f>
        <v>3.8879582000000004</v>
      </c>
      <c r="K2" t="s">
        <v>40</v>
      </c>
    </row>
    <row r="3" spans="1:11" x14ac:dyDescent="0.35">
      <c r="A3">
        <v>2</v>
      </c>
      <c r="B3" t="s">
        <v>77</v>
      </c>
      <c r="C3" t="s">
        <v>0</v>
      </c>
      <c r="D3" t="s">
        <v>1</v>
      </c>
      <c r="E3" t="s">
        <v>91</v>
      </c>
      <c r="F3">
        <v>532.20000000000005</v>
      </c>
      <c r="G3" s="1">
        <v>800</v>
      </c>
      <c r="H3" s="1">
        <v>700</v>
      </c>
      <c r="I3" s="1">
        <v>150</v>
      </c>
      <c r="J3" s="3">
        <f t="shared" ref="J3:J5" si="0">((2*G3*H3)+(F3*G3)+(3*F3*H3))/1000000</f>
        <v>2.6633800000000001</v>
      </c>
      <c r="K3" t="s">
        <v>41</v>
      </c>
    </row>
    <row r="4" spans="1:11" x14ac:dyDescent="0.35">
      <c r="A4">
        <v>3</v>
      </c>
      <c r="B4" t="s">
        <v>78</v>
      </c>
      <c r="C4" t="s">
        <v>8</v>
      </c>
      <c r="D4" t="s">
        <v>1</v>
      </c>
      <c r="E4" t="s">
        <v>92</v>
      </c>
      <c r="F4" s="1">
        <v>1449.87</v>
      </c>
      <c r="G4" s="1">
        <v>800</v>
      </c>
      <c r="H4" s="1">
        <v>660</v>
      </c>
      <c r="I4" s="1">
        <v>577</v>
      </c>
      <c r="J4" s="3">
        <f t="shared" si="0"/>
        <v>5.0866385999999997</v>
      </c>
      <c r="K4" t="s">
        <v>38</v>
      </c>
    </row>
    <row r="5" spans="1:11" x14ac:dyDescent="0.35">
      <c r="A5">
        <v>4</v>
      </c>
      <c r="B5" t="s">
        <v>79</v>
      </c>
      <c r="C5" t="s">
        <v>0</v>
      </c>
      <c r="D5" t="s">
        <v>1</v>
      </c>
      <c r="E5" t="s">
        <v>92</v>
      </c>
      <c r="F5" s="1">
        <v>1382.81</v>
      </c>
      <c r="G5" s="1">
        <v>1200</v>
      </c>
      <c r="H5" s="1">
        <v>700</v>
      </c>
      <c r="I5" s="1">
        <v>150</v>
      </c>
      <c r="J5" s="3">
        <f t="shared" si="0"/>
        <v>6.2432730000000003</v>
      </c>
      <c r="K5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9CE7-D67A-4319-A7EC-55598DEFBA38}">
  <dimension ref="A1:D17"/>
  <sheetViews>
    <sheetView workbookViewId="0">
      <selection activeCell="D11" sqref="D11"/>
    </sheetView>
  </sheetViews>
  <sheetFormatPr defaultRowHeight="14.5" x14ac:dyDescent="0.35"/>
  <sheetData>
    <row r="1" spans="1:4" x14ac:dyDescent="0.35">
      <c r="A1" t="s">
        <v>93</v>
      </c>
      <c r="B1" t="s">
        <v>85</v>
      </c>
      <c r="C1" t="s">
        <v>86</v>
      </c>
      <c r="D1" t="s">
        <v>75</v>
      </c>
    </row>
    <row r="2" spans="1:4" x14ac:dyDescent="0.35">
      <c r="A2">
        <v>1</v>
      </c>
      <c r="B2" t="s">
        <v>94</v>
      </c>
      <c r="C2" t="s">
        <v>91</v>
      </c>
      <c r="D2">
        <v>1050</v>
      </c>
    </row>
    <row r="3" spans="1:4" x14ac:dyDescent="0.35">
      <c r="A3">
        <v>1</v>
      </c>
      <c r="B3" t="s">
        <v>1</v>
      </c>
      <c r="C3" t="s">
        <v>95</v>
      </c>
      <c r="D3">
        <v>1180</v>
      </c>
    </row>
    <row r="4" spans="1:4" x14ac:dyDescent="0.35">
      <c r="A4">
        <v>1</v>
      </c>
      <c r="B4" t="s">
        <v>1</v>
      </c>
      <c r="C4" t="s">
        <v>91</v>
      </c>
      <c r="D4">
        <v>1018.69</v>
      </c>
    </row>
    <row r="5" spans="1:4" x14ac:dyDescent="0.35">
      <c r="A5">
        <v>1</v>
      </c>
      <c r="B5" t="s">
        <v>94</v>
      </c>
      <c r="C5" t="s">
        <v>95</v>
      </c>
      <c r="D5">
        <v>940</v>
      </c>
    </row>
    <row r="6" spans="1:4" x14ac:dyDescent="0.35">
      <c r="A6">
        <v>2</v>
      </c>
      <c r="B6" t="s">
        <v>94</v>
      </c>
      <c r="C6" t="s">
        <v>91</v>
      </c>
      <c r="D6">
        <v>532</v>
      </c>
    </row>
    <row r="7" spans="1:4" x14ac:dyDescent="0.35">
      <c r="A7">
        <v>2</v>
      </c>
      <c r="B7" t="s">
        <v>1</v>
      </c>
      <c r="C7" t="s">
        <v>95</v>
      </c>
      <c r="D7">
        <v>590</v>
      </c>
    </row>
    <row r="8" spans="1:4" x14ac:dyDescent="0.35">
      <c r="A8">
        <v>2</v>
      </c>
      <c r="B8" t="s">
        <v>1</v>
      </c>
      <c r="C8" t="s">
        <v>91</v>
      </c>
      <c r="D8">
        <v>532.20000000000005</v>
      </c>
    </row>
    <row r="9" spans="1:4" x14ac:dyDescent="0.35">
      <c r="A9">
        <v>2</v>
      </c>
      <c r="B9" t="s">
        <v>94</v>
      </c>
      <c r="C9" t="s">
        <v>95</v>
      </c>
      <c r="D9">
        <v>510</v>
      </c>
    </row>
    <row r="10" spans="1:4" x14ac:dyDescent="0.35">
      <c r="A10">
        <v>3</v>
      </c>
      <c r="B10" t="s">
        <v>94</v>
      </c>
      <c r="C10" t="s">
        <v>91</v>
      </c>
      <c r="D10">
        <v>700</v>
      </c>
    </row>
    <row r="11" spans="1:4" x14ac:dyDescent="0.35">
      <c r="A11">
        <v>3</v>
      </c>
      <c r="B11" t="s">
        <v>1</v>
      </c>
      <c r="C11" t="s">
        <v>92</v>
      </c>
      <c r="D11" s="1">
        <v>1449.87</v>
      </c>
    </row>
    <row r="12" spans="1:4" x14ac:dyDescent="0.35">
      <c r="A12">
        <v>3</v>
      </c>
      <c r="B12" t="s">
        <v>1</v>
      </c>
      <c r="C12" t="s">
        <v>91</v>
      </c>
      <c r="D12">
        <v>1400</v>
      </c>
    </row>
    <row r="13" spans="1:4" x14ac:dyDescent="0.35">
      <c r="A13">
        <v>3</v>
      </c>
      <c r="B13" t="s">
        <v>94</v>
      </c>
      <c r="C13" t="s">
        <v>92</v>
      </c>
      <c r="D13">
        <v>980</v>
      </c>
    </row>
    <row r="14" spans="1:4" x14ac:dyDescent="0.35">
      <c r="A14">
        <v>4</v>
      </c>
      <c r="B14" t="s">
        <v>94</v>
      </c>
      <c r="C14" t="s">
        <v>91</v>
      </c>
      <c r="D14">
        <v>780</v>
      </c>
    </row>
    <row r="15" spans="1:4" x14ac:dyDescent="0.35">
      <c r="A15">
        <v>4</v>
      </c>
      <c r="B15" t="s">
        <v>1</v>
      </c>
      <c r="C15" t="s">
        <v>92</v>
      </c>
      <c r="D15" s="1">
        <v>1382.81</v>
      </c>
    </row>
    <row r="16" spans="1:4" x14ac:dyDescent="0.35">
      <c r="A16">
        <v>4</v>
      </c>
      <c r="B16" t="s">
        <v>1</v>
      </c>
      <c r="C16" t="s">
        <v>91</v>
      </c>
      <c r="D16">
        <v>1300</v>
      </c>
    </row>
    <row r="17" spans="1:4" x14ac:dyDescent="0.35">
      <c r="A17">
        <v>4</v>
      </c>
      <c r="B17" t="s">
        <v>94</v>
      </c>
      <c r="C17" t="s">
        <v>92</v>
      </c>
      <c r="D17">
        <v>1600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5FCA-76A8-4A85-AC8B-309DEC646C1C}">
  <dimension ref="A1:L25"/>
  <sheetViews>
    <sheetView tabSelected="1" workbookViewId="0">
      <selection activeCell="C2" sqref="C2:C25"/>
    </sheetView>
  </sheetViews>
  <sheetFormatPr defaultRowHeight="14.5" x14ac:dyDescent="0.35"/>
  <cols>
    <col min="1" max="1" width="10.81640625" bestFit="1" customWidth="1"/>
    <col min="2" max="2" width="21.36328125" customWidth="1"/>
    <col min="3" max="3" width="17.1796875" customWidth="1"/>
    <col min="4" max="4" width="12.1796875" bestFit="1" customWidth="1"/>
    <col min="5" max="5" width="15.36328125" bestFit="1" customWidth="1"/>
    <col min="6" max="6" width="12.6328125" bestFit="1" customWidth="1"/>
    <col min="7" max="7" width="18.453125" bestFit="1" customWidth="1"/>
    <col min="8" max="8" width="14.7265625" bestFit="1" customWidth="1"/>
    <col min="9" max="9" width="40.90625" bestFit="1" customWidth="1"/>
    <col min="10" max="10" width="6.81640625" bestFit="1" customWidth="1"/>
    <col min="11" max="11" width="10.6328125" customWidth="1"/>
  </cols>
  <sheetData>
    <row r="1" spans="1:11" x14ac:dyDescent="0.35">
      <c r="A1" t="s">
        <v>9</v>
      </c>
      <c r="B1" t="s">
        <v>96</v>
      </c>
      <c r="C1" t="s">
        <v>97</v>
      </c>
      <c r="D1" t="s">
        <v>11</v>
      </c>
      <c r="E1" t="s">
        <v>81</v>
      </c>
      <c r="F1" t="s">
        <v>12</v>
      </c>
      <c r="G1" t="s">
        <v>13</v>
      </c>
      <c r="H1" t="s">
        <v>14</v>
      </c>
      <c r="I1" t="s">
        <v>5</v>
      </c>
      <c r="J1" t="s">
        <v>82</v>
      </c>
      <c r="K1" t="s">
        <v>83</v>
      </c>
    </row>
    <row r="2" spans="1:11" x14ac:dyDescent="0.35">
      <c r="A2">
        <v>2</v>
      </c>
      <c r="B2" t="s">
        <v>15</v>
      </c>
      <c r="C2" t="s">
        <v>18</v>
      </c>
      <c r="D2">
        <v>4</v>
      </c>
      <c r="E2" t="s">
        <v>45</v>
      </c>
      <c r="F2" t="s">
        <v>19</v>
      </c>
      <c r="H2">
        <v>43.51</v>
      </c>
      <c r="I2" t="s">
        <v>20</v>
      </c>
    </row>
    <row r="3" spans="1:11" x14ac:dyDescent="0.35">
      <c r="A3">
        <v>2</v>
      </c>
      <c r="B3" t="s">
        <v>16</v>
      </c>
      <c r="C3" t="s">
        <v>18</v>
      </c>
      <c r="D3">
        <v>2</v>
      </c>
      <c r="E3" t="s">
        <v>3</v>
      </c>
      <c r="F3" t="s">
        <v>21</v>
      </c>
      <c r="H3">
        <v>130.24</v>
      </c>
      <c r="I3" t="s">
        <v>22</v>
      </c>
    </row>
    <row r="4" spans="1:11" x14ac:dyDescent="0.35">
      <c r="A4">
        <v>2</v>
      </c>
      <c r="B4" t="s">
        <v>17</v>
      </c>
      <c r="C4" t="s">
        <v>17</v>
      </c>
      <c r="D4">
        <v>2</v>
      </c>
      <c r="E4" t="s">
        <v>24</v>
      </c>
      <c r="F4" t="s">
        <v>23</v>
      </c>
      <c r="H4">
        <v>160.05000000000001</v>
      </c>
      <c r="I4" t="s">
        <v>25</v>
      </c>
    </row>
    <row r="5" spans="1:11" x14ac:dyDescent="0.35">
      <c r="A5">
        <v>2</v>
      </c>
      <c r="B5" t="s">
        <v>30</v>
      </c>
      <c r="C5" t="s">
        <v>29</v>
      </c>
      <c r="D5">
        <v>2</v>
      </c>
      <c r="E5" t="s">
        <v>1</v>
      </c>
      <c r="F5" t="s">
        <v>23</v>
      </c>
      <c r="H5">
        <v>60.23</v>
      </c>
      <c r="I5" t="s">
        <v>28</v>
      </c>
    </row>
    <row r="6" spans="1:11" x14ac:dyDescent="0.35">
      <c r="A6">
        <v>1</v>
      </c>
      <c r="B6" t="s">
        <v>15</v>
      </c>
      <c r="C6" t="s">
        <v>18</v>
      </c>
      <c r="D6">
        <v>4</v>
      </c>
      <c r="F6" t="s">
        <v>19</v>
      </c>
      <c r="H6">
        <v>43.51</v>
      </c>
      <c r="I6" t="s">
        <v>20</v>
      </c>
      <c r="J6">
        <f>H6*D6</f>
        <v>174.04</v>
      </c>
      <c r="K6" t="s">
        <v>84</v>
      </c>
    </row>
    <row r="7" spans="1:11" x14ac:dyDescent="0.35">
      <c r="A7">
        <v>1</v>
      </c>
      <c r="B7" t="s">
        <v>16</v>
      </c>
      <c r="C7" t="s">
        <v>18</v>
      </c>
      <c r="D7">
        <v>2</v>
      </c>
      <c r="F7" t="s">
        <v>21</v>
      </c>
      <c r="H7">
        <v>130.24</v>
      </c>
      <c r="I7" t="s">
        <v>22</v>
      </c>
      <c r="J7">
        <f>H7*D7</f>
        <v>260.48</v>
      </c>
      <c r="K7" t="s">
        <v>84</v>
      </c>
    </row>
    <row r="8" spans="1:11" x14ac:dyDescent="0.35">
      <c r="A8">
        <v>1</v>
      </c>
      <c r="B8" t="s">
        <v>15</v>
      </c>
      <c r="C8" t="s">
        <v>17</v>
      </c>
      <c r="D8">
        <v>2</v>
      </c>
      <c r="F8" t="s">
        <v>23</v>
      </c>
      <c r="H8">
        <v>151.68</v>
      </c>
      <c r="I8" t="s">
        <v>35</v>
      </c>
      <c r="J8">
        <f>H8*D8</f>
        <v>303.36</v>
      </c>
      <c r="K8" t="s">
        <v>84</v>
      </c>
    </row>
    <row r="9" spans="1:11" x14ac:dyDescent="0.35">
      <c r="A9">
        <v>1</v>
      </c>
      <c r="B9" t="s">
        <v>26</v>
      </c>
      <c r="C9" t="s">
        <v>18</v>
      </c>
      <c r="D9">
        <v>1</v>
      </c>
      <c r="E9" t="s">
        <v>27</v>
      </c>
      <c r="F9" t="s">
        <v>19</v>
      </c>
      <c r="H9">
        <v>367.5</v>
      </c>
      <c r="I9" t="s">
        <v>36</v>
      </c>
      <c r="J9">
        <f>H9*D9</f>
        <v>367.5</v>
      </c>
      <c r="K9" t="s">
        <v>84</v>
      </c>
    </row>
    <row r="10" spans="1:11" x14ac:dyDescent="0.35">
      <c r="A10">
        <v>1</v>
      </c>
      <c r="B10" t="s">
        <v>30</v>
      </c>
      <c r="C10" t="s">
        <v>29</v>
      </c>
      <c r="D10">
        <v>1</v>
      </c>
      <c r="E10" t="s">
        <v>1</v>
      </c>
      <c r="F10" t="s">
        <v>23</v>
      </c>
      <c r="H10">
        <v>220.89</v>
      </c>
      <c r="I10" t="s">
        <v>31</v>
      </c>
      <c r="J10">
        <f>H10*D10</f>
        <v>220.89</v>
      </c>
      <c r="K10" t="s">
        <v>84</v>
      </c>
    </row>
    <row r="11" spans="1:11" x14ac:dyDescent="0.35">
      <c r="A11">
        <v>1</v>
      </c>
      <c r="B11" t="s">
        <v>33</v>
      </c>
      <c r="C11" t="s">
        <v>29</v>
      </c>
      <c r="D11">
        <v>1</v>
      </c>
      <c r="E11" t="s">
        <v>1</v>
      </c>
      <c r="F11" t="s">
        <v>23</v>
      </c>
      <c r="H11">
        <v>94.75</v>
      </c>
      <c r="I11" t="s">
        <v>32</v>
      </c>
      <c r="J11">
        <f>H11*D11</f>
        <v>94.75</v>
      </c>
      <c r="K11" t="s">
        <v>84</v>
      </c>
    </row>
    <row r="12" spans="1:11" x14ac:dyDescent="0.35">
      <c r="A12">
        <v>2</v>
      </c>
      <c r="B12" t="s">
        <v>37</v>
      </c>
      <c r="C12" t="s">
        <v>29</v>
      </c>
      <c r="D12">
        <v>1</v>
      </c>
      <c r="E12" t="s">
        <v>1</v>
      </c>
      <c r="F12" t="s">
        <v>23</v>
      </c>
      <c r="H12">
        <v>50.56</v>
      </c>
      <c r="I12" t="s">
        <v>34</v>
      </c>
    </row>
    <row r="13" spans="1:11" x14ac:dyDescent="0.35">
      <c r="A13">
        <v>1</v>
      </c>
      <c r="B13" t="s">
        <v>17</v>
      </c>
      <c r="C13" t="s">
        <v>17</v>
      </c>
      <c r="D13">
        <v>2</v>
      </c>
      <c r="E13" t="s">
        <v>1</v>
      </c>
      <c r="F13" t="s">
        <v>23</v>
      </c>
      <c r="H13">
        <v>151.68</v>
      </c>
      <c r="I13" t="s">
        <v>35</v>
      </c>
      <c r="J13">
        <f>H13*D13</f>
        <v>303.36</v>
      </c>
      <c r="K13" t="s">
        <v>84</v>
      </c>
    </row>
    <row r="14" spans="1:11" x14ac:dyDescent="0.35">
      <c r="A14">
        <v>1</v>
      </c>
      <c r="B14" t="s">
        <v>37</v>
      </c>
      <c r="C14" t="s">
        <v>29</v>
      </c>
      <c r="D14">
        <v>1</v>
      </c>
      <c r="E14" t="s">
        <v>1</v>
      </c>
      <c r="F14" t="s">
        <v>23</v>
      </c>
      <c r="H14">
        <v>48.14</v>
      </c>
      <c r="I14" t="s">
        <v>34</v>
      </c>
      <c r="J14">
        <f>H14*D14</f>
        <v>48.14</v>
      </c>
      <c r="K14" t="s">
        <v>84</v>
      </c>
    </row>
    <row r="15" spans="1:11" x14ac:dyDescent="0.35">
      <c r="A15">
        <v>3</v>
      </c>
      <c r="B15" t="s">
        <v>51</v>
      </c>
      <c r="C15" t="s">
        <v>18</v>
      </c>
      <c r="D15">
        <v>1</v>
      </c>
      <c r="E15" t="s">
        <v>52</v>
      </c>
      <c r="F15" t="s">
        <v>23</v>
      </c>
      <c r="H15">
        <v>524.76</v>
      </c>
      <c r="I15" t="s">
        <v>43</v>
      </c>
    </row>
    <row r="16" spans="1:11" x14ac:dyDescent="0.35">
      <c r="A16">
        <v>3</v>
      </c>
      <c r="B16" t="s">
        <v>15</v>
      </c>
      <c r="C16" t="s">
        <v>18</v>
      </c>
      <c r="D16">
        <v>2</v>
      </c>
      <c r="E16" t="s">
        <v>46</v>
      </c>
      <c r="F16" t="s">
        <v>23</v>
      </c>
      <c r="H16">
        <v>43.93</v>
      </c>
      <c r="I16" t="s">
        <v>42</v>
      </c>
    </row>
    <row r="17" spans="1:12" x14ac:dyDescent="0.35">
      <c r="A17">
        <v>3</v>
      </c>
      <c r="B17" t="s">
        <v>54</v>
      </c>
      <c r="C17" t="s">
        <v>18</v>
      </c>
      <c r="D17">
        <v>2</v>
      </c>
      <c r="E17" t="s">
        <v>55</v>
      </c>
      <c r="F17" t="s">
        <v>23</v>
      </c>
      <c r="H17">
        <v>43.05</v>
      </c>
      <c r="I17" t="s">
        <v>53</v>
      </c>
    </row>
    <row r="18" spans="1:12" x14ac:dyDescent="0.35">
      <c r="A18">
        <v>3</v>
      </c>
      <c r="B18" t="s">
        <v>57</v>
      </c>
      <c r="C18" t="s">
        <v>29</v>
      </c>
      <c r="D18">
        <v>1</v>
      </c>
      <c r="E18" t="s">
        <v>58</v>
      </c>
      <c r="F18" t="s">
        <v>59</v>
      </c>
      <c r="H18">
        <v>532.92999999999995</v>
      </c>
      <c r="I18" t="s">
        <v>56</v>
      </c>
    </row>
    <row r="19" spans="1:12" x14ac:dyDescent="0.35">
      <c r="A19">
        <v>3</v>
      </c>
      <c r="B19" t="s">
        <v>37</v>
      </c>
      <c r="C19" t="s">
        <v>29</v>
      </c>
      <c r="D19">
        <v>1</v>
      </c>
      <c r="E19" t="s">
        <v>1</v>
      </c>
      <c r="F19" t="s">
        <v>61</v>
      </c>
      <c r="H19">
        <v>62.93</v>
      </c>
      <c r="I19" t="s">
        <v>60</v>
      </c>
    </row>
    <row r="20" spans="1:12" x14ac:dyDescent="0.35">
      <c r="A20">
        <v>3</v>
      </c>
      <c r="B20" t="s">
        <v>17</v>
      </c>
      <c r="C20" t="s">
        <v>17</v>
      </c>
      <c r="D20">
        <v>1</v>
      </c>
      <c r="E20" t="s">
        <v>24</v>
      </c>
      <c r="F20" t="s">
        <v>63</v>
      </c>
      <c r="H20">
        <v>179.68</v>
      </c>
      <c r="I20" t="s">
        <v>62</v>
      </c>
    </row>
    <row r="21" spans="1:12" x14ac:dyDescent="0.35">
      <c r="A21">
        <v>3</v>
      </c>
      <c r="B21" t="s">
        <v>17</v>
      </c>
      <c r="C21" t="s">
        <v>29</v>
      </c>
      <c r="D21">
        <v>1</v>
      </c>
      <c r="E21" t="s">
        <v>65</v>
      </c>
      <c r="F21" t="s">
        <v>63</v>
      </c>
      <c r="H21">
        <v>177.2</v>
      </c>
      <c r="I21" t="s">
        <v>64</v>
      </c>
    </row>
    <row r="22" spans="1:12" x14ac:dyDescent="0.35">
      <c r="A22">
        <v>3</v>
      </c>
      <c r="B22" t="s">
        <v>16</v>
      </c>
      <c r="C22" t="s">
        <v>18</v>
      </c>
      <c r="D22">
        <v>2</v>
      </c>
      <c r="E22" t="s">
        <v>3</v>
      </c>
      <c r="F22" t="s">
        <v>48</v>
      </c>
      <c r="H22">
        <v>180.88</v>
      </c>
      <c r="I22" t="s">
        <v>47</v>
      </c>
    </row>
    <row r="23" spans="1:12" x14ac:dyDescent="0.35">
      <c r="A23">
        <v>4</v>
      </c>
      <c r="B23" t="s">
        <v>67</v>
      </c>
      <c r="C23" t="s">
        <v>18</v>
      </c>
      <c r="D23">
        <v>1</v>
      </c>
      <c r="E23" t="s">
        <v>68</v>
      </c>
      <c r="F23" t="s">
        <v>59</v>
      </c>
      <c r="H23">
        <v>839.2</v>
      </c>
      <c r="I23" t="s">
        <v>66</v>
      </c>
      <c r="L23" s="1"/>
    </row>
    <row r="24" spans="1:12" x14ac:dyDescent="0.35">
      <c r="A24">
        <v>4</v>
      </c>
      <c r="B24" t="s">
        <v>17</v>
      </c>
      <c r="C24" t="s">
        <v>17</v>
      </c>
      <c r="D24">
        <v>1</v>
      </c>
      <c r="E24" t="s">
        <v>70</v>
      </c>
      <c r="F24" t="s">
        <v>59</v>
      </c>
      <c r="H24">
        <v>892.71</v>
      </c>
      <c r="I24" t="s">
        <v>69</v>
      </c>
      <c r="L24" s="1"/>
    </row>
    <row r="25" spans="1:12" x14ac:dyDescent="0.35">
      <c r="A25">
        <v>4</v>
      </c>
      <c r="B25" t="s">
        <v>30</v>
      </c>
      <c r="C25" t="s">
        <v>29</v>
      </c>
      <c r="D25">
        <v>2</v>
      </c>
      <c r="E25" t="s">
        <v>72</v>
      </c>
      <c r="F25" t="s">
        <v>59</v>
      </c>
      <c r="H25">
        <v>80.47</v>
      </c>
      <c r="I25" t="s">
        <v>71</v>
      </c>
    </row>
  </sheetData>
  <autoFilter ref="A1:I25" xr:uid="{095A5FCA-76A8-4A85-AC8B-309DEC646C1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6058-F86B-43BB-ACEA-401E2D1C8EB2}">
  <dimension ref="A1:E5"/>
  <sheetViews>
    <sheetView workbookViewId="0">
      <selection activeCell="D4" sqref="D4:D5"/>
    </sheetView>
  </sheetViews>
  <sheetFormatPr defaultRowHeight="14.5" x14ac:dyDescent="0.35"/>
  <cols>
    <col min="2" max="2" width="19.81640625" customWidth="1"/>
    <col min="3" max="3" width="18.90625" customWidth="1"/>
    <col min="4" max="4" width="21.453125" customWidth="1"/>
  </cols>
  <sheetData>
    <row r="1" spans="1:5" x14ac:dyDescent="0.35">
      <c r="A1" t="s">
        <v>4</v>
      </c>
      <c r="B1" t="s">
        <v>96</v>
      </c>
      <c r="C1" t="s">
        <v>5</v>
      </c>
      <c r="D1" t="s">
        <v>14</v>
      </c>
      <c r="E1" t="s">
        <v>98</v>
      </c>
    </row>
    <row r="2" spans="1:5" x14ac:dyDescent="0.35">
      <c r="A2" t="s">
        <v>99</v>
      </c>
      <c r="B2" t="s">
        <v>16</v>
      </c>
      <c r="C2" t="s">
        <v>101</v>
      </c>
      <c r="D2">
        <v>180.88</v>
      </c>
    </row>
    <row r="3" spans="1:5" x14ac:dyDescent="0.35">
      <c r="A3" t="s">
        <v>100</v>
      </c>
      <c r="B3" t="s">
        <v>16</v>
      </c>
      <c r="C3" t="s">
        <v>102</v>
      </c>
      <c r="D3">
        <v>130.24</v>
      </c>
    </row>
    <row r="4" spans="1:5" x14ac:dyDescent="0.35">
      <c r="A4" t="s">
        <v>103</v>
      </c>
      <c r="B4" t="s">
        <v>15</v>
      </c>
      <c r="C4" t="s">
        <v>15</v>
      </c>
      <c r="D4">
        <v>43.93</v>
      </c>
    </row>
    <row r="5" spans="1:5" x14ac:dyDescent="0.35">
      <c r="A5" t="s">
        <v>104</v>
      </c>
      <c r="B5" t="s">
        <v>15</v>
      </c>
      <c r="C5" t="s">
        <v>15</v>
      </c>
      <c r="D5">
        <v>43.51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personalizacoes</vt:lpstr>
      <vt:lpstr>balcoes</vt:lpstr>
      <vt:lpstr>precos_base</vt:lpstr>
      <vt:lpstr>componentes</vt:lpstr>
      <vt:lpstr>catalogo_componentes</vt:lpstr>
    </vt:vector>
  </TitlesOfParts>
  <Company>C&amp;A MODAS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Kaylana Prudencio Ferreira</dc:creator>
  <cp:lastModifiedBy>Kaylana Prudencio Ferreira</cp:lastModifiedBy>
  <dcterms:created xsi:type="dcterms:W3CDTF">2025-12-17T01:36:48Z</dcterms:created>
  <dcterms:modified xsi:type="dcterms:W3CDTF">2026-01-28T17:56:37Z</dcterms:modified>
</cp:coreProperties>
</file>