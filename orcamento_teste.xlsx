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2016825\ML\QUIO\back_update\"/>
    </mc:Choice>
  </mc:AlternateContent>
  <xr:revisionPtr revIDLastSave="0" documentId="13_ncr:1_{F311D1C6-33C5-4C46-83AA-EF9321249A7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Sheet1" sheetId="1" r:id="rId1"/>
    <sheet name="produto" sheetId="2" r:id="rId2"/>
    <sheet name="possibilidades" sheetId="3" r:id="rId3"/>
  </sheets>
  <definedNames>
    <definedName name="_xlnm._FilterDatabase" localSheetId="0" hidden="1">Sheet1!$A$1:$H$105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E106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<sst xmlns="http://schemas.openxmlformats.org/spreadsheetml/2006/main" count="801" uniqueCount="191">
  <si>
    <t>Item</t>
  </si>
  <si>
    <t>Qtd</t>
  </si>
  <si>
    <t>Referência</t>
  </si>
  <si>
    <t>Descrição</t>
  </si>
  <si>
    <t>Dimensões</t>
  </si>
  <si>
    <t>Preço Final</t>
  </si>
  <si>
    <t>1 un</t>
  </si>
  <si>
    <t>CCIA300T</t>
  </si>
  <si>
    <t>Corredica Clip HAFELE GT2 Abert Total Amort 300</t>
  </si>
  <si>
    <t>526,8 x 47,5 x 300</t>
  </si>
  <si>
    <t>CTA250</t>
  </si>
  <si>
    <t>Corredica HAFELE Telescopica Alta 250</t>
  </si>
  <si>
    <t>474,27 x 43 x 250</t>
  </si>
  <si>
    <t>CTA300</t>
  </si>
  <si>
    <t>Corredica HAFELE Telescopica Alta 300</t>
  </si>
  <si>
    <t>498,55 x 43 x 300</t>
  </si>
  <si>
    <t>DIX001</t>
  </si>
  <si>
    <t>Dobradiça Stam Inox Escovado</t>
  </si>
  <si>
    <t>12,5 x 107 x 48</t>
  </si>
  <si>
    <t>FCC110</t>
  </si>
  <si>
    <t>Fechadura Cromada Com Chave</t>
  </si>
  <si>
    <t>148,3 x 200,4 x 169,5</t>
  </si>
  <si>
    <t>1 UN</t>
  </si>
  <si>
    <t>CR3000 NUD</t>
  </si>
  <si>
    <t>BALCAO EDIT COZINHA MDP 18.3</t>
  </si>
  <si>
    <t>563,4 x 403,4 x 403,7</t>
  </si>
  <si>
    <t>EGI001 NUD</t>
  </si>
  <si>
    <t>Caixa Gav Invis Fre Chapa MDP 15.3</t>
  </si>
  <si>
    <t>516,8 x 132 x 317</t>
  </si>
  <si>
    <t>EGT001 VED</t>
  </si>
  <si>
    <t>Caixa Gav Telesc Fre Chapa MDF 15.3</t>
  </si>
  <si>
    <t>473,55 x 78 x 317</t>
  </si>
  <si>
    <t>449,27 x 269 x 267</t>
  </si>
  <si>
    <t>RSBRC55 NUD</t>
  </si>
  <si>
    <t>Ripa de Sustentacao MDP</t>
  </si>
  <si>
    <t>563,4 x 70 x 15,3</t>
  </si>
  <si>
    <t>FG400NUD</t>
  </si>
  <si>
    <t>Frente Gav Acessorios MDP RETA</t>
  </si>
  <si>
    <t>558,8 x 196,65 x 18</t>
  </si>
  <si>
    <t>FG700VED</t>
  </si>
  <si>
    <t>Frente Gav Home MDF RETA</t>
  </si>
  <si>
    <t>522,05 x 143,4 x 18</t>
  </si>
  <si>
    <t>497,77 x 373,4 x 18</t>
  </si>
  <si>
    <t>488,27 x 373,4 x 18</t>
  </si>
  <si>
    <t>HR402 VED</t>
  </si>
  <si>
    <t>Balcao 2 Gavetoes MDF 18.3</t>
  </si>
  <si>
    <t>1055 x 150 x 363</t>
  </si>
  <si>
    <t>HR403 VED</t>
  </si>
  <si>
    <t>Balcao 3 Gavetas MDF 18.3</t>
  </si>
  <si>
    <t>1500 x 380 x 321</t>
  </si>
  <si>
    <t>PA906 VED</t>
  </si>
  <si>
    <t>Painel 1 Face MDF</t>
  </si>
  <si>
    <t>6 x 100 x 1510</t>
  </si>
  <si>
    <t>6 x 2500 x 100</t>
  </si>
  <si>
    <t>6 x 1860 x 1397,35</t>
  </si>
  <si>
    <t>6 x 1860 x 246</t>
  </si>
  <si>
    <t>PA906 LOP</t>
  </si>
  <si>
    <t>Painel 1 Face MDP</t>
  </si>
  <si>
    <t>6 x 400 x 1079,7</t>
  </si>
  <si>
    <t>6 x 400 x 1064,3</t>
  </si>
  <si>
    <t>6 x 400 x 1415,3</t>
  </si>
  <si>
    <t>6 x 400 x 1617,35</t>
  </si>
  <si>
    <t>PA902C2 VED</t>
  </si>
  <si>
    <t>Painel 18mm Vertical Edit Cava 45 1 LadoMDF</t>
  </si>
  <si>
    <t>18,3 x 600 x 435</t>
  </si>
  <si>
    <t>18,3 x 440 x 435</t>
  </si>
  <si>
    <t>PA901R VED</t>
  </si>
  <si>
    <t>Painel Vertical com Recorte SEM BORDA INT MDF</t>
  </si>
  <si>
    <t>15,3 x 2300 x 70</t>
  </si>
  <si>
    <t>15,3 x 2300 x 1055</t>
  </si>
  <si>
    <t>PA901R BRA</t>
  </si>
  <si>
    <t>Painel Vertical com Recorte SEM BORDA INT MDP</t>
  </si>
  <si>
    <t>15,3 x 2200 x 600</t>
  </si>
  <si>
    <t>PA901 VED</t>
  </si>
  <si>
    <t>Painel Vertical MDF</t>
  </si>
  <si>
    <t>15,3 x 225,3 x 649,4</t>
  </si>
  <si>
    <t>15,3 x 2300 x 125,3</t>
  </si>
  <si>
    <t>15,3 x 2300 x 305</t>
  </si>
  <si>
    <t>15,3 x 2300 x 755</t>
  </si>
  <si>
    <t>15,3 x 100 x 855</t>
  </si>
  <si>
    <t>15,3 x 2700 x 100</t>
  </si>
  <si>
    <t>15,3 x 200 x 700</t>
  </si>
  <si>
    <t>15,3 x 220 x 1397,35</t>
  </si>
  <si>
    <t>15,3 x 2300 x 220</t>
  </si>
  <si>
    <t>15,3 x 220 x 246</t>
  </si>
  <si>
    <t>15,3 x 2300 x 249,3</t>
  </si>
  <si>
    <t>PA901 LOP</t>
  </si>
  <si>
    <t>Painel Vertical MDP</t>
  </si>
  <si>
    <t>15,3 x 2700 x 70</t>
  </si>
  <si>
    <t>15,3 x 2700 x 900</t>
  </si>
  <si>
    <t>PE890SF BRA</t>
  </si>
  <si>
    <t>Painel s/ Fita Borda s/ Ferragem MDP</t>
  </si>
  <si>
    <t>854,7 x 70 x 15,3</t>
  </si>
  <si>
    <t>PGI038E VED</t>
  </si>
  <si>
    <t>Porta Giro Esq MDF</t>
  </si>
  <si>
    <t>700 x 2100 x 150</t>
  </si>
  <si>
    <t>PGE800C VED</t>
  </si>
  <si>
    <t>Porta Interna de Giro Esq MDF RETA</t>
  </si>
  <si>
    <t>649,4 x 2074,7 x 38,3</t>
  </si>
  <si>
    <t>P00462</t>
  </si>
  <si>
    <t>PUX.DHARMA 48MM ESC</t>
  </si>
  <si>
    <t>56 x 56 x 22</t>
  </si>
  <si>
    <t>Vista</t>
  </si>
  <si>
    <t>Vista 1</t>
  </si>
  <si>
    <t>Painel vertical MDP de 15mm em Louro preto</t>
  </si>
  <si>
    <t>Painel vertical MDF de 15mm VED</t>
  </si>
  <si>
    <t>Painel vertical MDF de 6mm VED</t>
  </si>
  <si>
    <t>Painel sem fita de bora e sem ferragem MDP branca</t>
  </si>
  <si>
    <t>Painel sem fita de bora e sem ferragem MDP preto louro</t>
  </si>
  <si>
    <t>Tampa de gaveta cava 1</t>
  </si>
  <si>
    <t>Lateral de gaveta cava 1</t>
  </si>
  <si>
    <t>Tampa de gaveta cava 2</t>
  </si>
  <si>
    <t>fundo de gaveta cava 1</t>
  </si>
  <si>
    <t>Lateral de gaveta cava 2</t>
  </si>
  <si>
    <t>fundo de gaveta cava 2</t>
  </si>
  <si>
    <t>módulo de gaveta 1</t>
  </si>
  <si>
    <t>módulo de gaveta 2</t>
  </si>
  <si>
    <t>corrediça da gaveta 1</t>
  </si>
  <si>
    <t>corrediça da gaveta 2</t>
  </si>
  <si>
    <t>Vista 2</t>
  </si>
  <si>
    <t>Vista 3</t>
  </si>
  <si>
    <t>Painel vertical MDP de 6mm VED</t>
  </si>
  <si>
    <t>Painel de recorte</t>
  </si>
  <si>
    <t>Porta de giro</t>
  </si>
  <si>
    <t>Frente de gaveta 1</t>
  </si>
  <si>
    <t>Frente de gaveta 2</t>
  </si>
  <si>
    <t>Frente de gavetão 2</t>
  </si>
  <si>
    <t>Frente de gsvetão 2</t>
  </si>
  <si>
    <t>Frente de gavetão 1</t>
  </si>
  <si>
    <t>Balcão com 2 gavetões</t>
  </si>
  <si>
    <t>Balcão com 3 gavetões</t>
  </si>
  <si>
    <t>Caixa de gaveta 1</t>
  </si>
  <si>
    <t>Caixa de gaveta 2</t>
  </si>
  <si>
    <t xml:space="preserve">Caixa de gaveta telescópica </t>
  </si>
  <si>
    <t>Caixa de gaveta telescópica</t>
  </si>
  <si>
    <t>Corrediça telescópica alta de 250</t>
  </si>
  <si>
    <t>Corrediça telescópica alta de 300</t>
  </si>
  <si>
    <t>Dobradiça da porta</t>
  </si>
  <si>
    <t>Fechadura de porta</t>
  </si>
  <si>
    <t>Suporte de porta de giro</t>
  </si>
  <si>
    <t>Puxador de gaveta</t>
  </si>
  <si>
    <t>Ripa de sustentação MDP</t>
  </si>
  <si>
    <t>Produto</t>
  </si>
  <si>
    <t>id</t>
  </si>
  <si>
    <t>cor</t>
  </si>
  <si>
    <t>Corrediça Clip GT2</t>
  </si>
  <si>
    <t>Corrediça Telescópica 300</t>
  </si>
  <si>
    <t>Corrediça Telescópica 250</t>
  </si>
  <si>
    <t>Dobradiça Stam</t>
  </si>
  <si>
    <t>Fechadura Cromada</t>
  </si>
  <si>
    <t>Balcao cozinha</t>
  </si>
  <si>
    <t>Caixa de gaveta inivisivel 15.3 MDP</t>
  </si>
  <si>
    <t>Caixa de gaveta telescopica 15.3 MDF</t>
  </si>
  <si>
    <t>Ripa de sustentacao</t>
  </si>
  <si>
    <t>Frente de gaveta MDP Reta</t>
  </si>
  <si>
    <t>Frente de gaveta home MDF Reta</t>
  </si>
  <si>
    <t>Balcao 2 gavetoes MDF 18.3</t>
  </si>
  <si>
    <t>Balcao 3 gavetas MDF 18.3</t>
  </si>
  <si>
    <t>Painel vertical cava 45</t>
  </si>
  <si>
    <t>Painel vertical com recorte sem borda MDF</t>
  </si>
  <si>
    <t>Painel vertical com recorte sem borda MDP</t>
  </si>
  <si>
    <t>Painel Face MDF</t>
  </si>
  <si>
    <t>Painel Face MDP</t>
  </si>
  <si>
    <t>Painel sem fita de borda e sem ferragem MDP</t>
  </si>
  <si>
    <t>Porta interna MDF Reta</t>
  </si>
  <si>
    <t>Puxador Dharma</t>
  </si>
  <si>
    <t>dimensao</t>
  </si>
  <si>
    <t>preço</t>
  </si>
  <si>
    <t>none</t>
  </si>
  <si>
    <t>Inox</t>
  </si>
  <si>
    <t>Ved</t>
  </si>
  <si>
    <t>Nud</t>
  </si>
  <si>
    <t>Lop</t>
  </si>
  <si>
    <t>Bra</t>
  </si>
  <si>
    <t>QTDE</t>
  </si>
  <si>
    <t>Nome</t>
  </si>
  <si>
    <t>ID</t>
  </si>
  <si>
    <t>Imagem</t>
  </si>
  <si>
    <t>corrediça gt2 Hafele</t>
  </si>
  <si>
    <t>corrediça telescopica 250</t>
  </si>
  <si>
    <t>corrediça telescopica 300</t>
  </si>
  <si>
    <t>dobradiça stam</t>
  </si>
  <si>
    <t>fechadura cromada</t>
  </si>
  <si>
    <t>balcao de cozinha</t>
  </si>
  <si>
    <t>caixa de gaveta invisivel</t>
  </si>
  <si>
    <t>caixa de gaveta telescopica</t>
  </si>
  <si>
    <t>balcao 3 gavetoes</t>
  </si>
  <si>
    <t>painel face</t>
  </si>
  <si>
    <t>painel vertical</t>
  </si>
  <si>
    <t>painel de recorte</t>
  </si>
  <si>
    <t>puxador dharma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</si>
</sst>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06"/>
  <sheetViews>
    <sheetView topLeftCell="C1" workbookViewId="0">
      <selection activeCell="F46" sqref="F46"/>
    </sheetView>
  </sheetViews>
  <sheetFormatPr defaultRowHeight="14.5" x14ac:dyDescent="0.35"/>
  <cols>
    <col min="3" max="3" width="19.54296875" customWidth="1"/>
    <col min="4" max="4" width="44.7265625" customWidth="1"/>
    <col min="5" max="5" width="20.453125" customWidth="1"/>
    <col min="6" max="6" width="15.81640625" customWidth="1"/>
    <col min="8" max="8" width="5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</v>
      </c>
      <c r="H1" t="s">
        <v>142</v>
      </c>
    </row>
    <row r="2" spans="1:8" hidden="1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464.59</v>
      </c>
      <c r="G2" t="s">
        <v>103</v>
      </c>
      <c r="H2" t="s">
        <v>117</v>
      </c>
    </row>
    <row r="3" spans="1:8" hidden="1" x14ac:dyDescent="0.35">
      <c r="A3">
        <v>5</v>
      </c>
      <c r="B3" t="s">
        <v>6</v>
      </c>
      <c r="C3" t="s">
        <v>7</v>
      </c>
      <c r="D3" t="s">
        <v>8</v>
      </c>
      <c r="E3" t="s">
        <v>9</v>
      </c>
      <c r="F3">
        <v>464.59</v>
      </c>
      <c r="G3" t="s">
        <v>103</v>
      </c>
      <c r="H3" t="s">
        <v>117</v>
      </c>
    </row>
    <row r="4" spans="1:8" hidden="1" x14ac:dyDescent="0.35">
      <c r="A4">
        <v>9</v>
      </c>
      <c r="B4" t="s">
        <v>6</v>
      </c>
      <c r="C4" t="s">
        <v>7</v>
      </c>
      <c r="D4" t="s">
        <v>8</v>
      </c>
      <c r="E4" t="s">
        <v>9</v>
      </c>
      <c r="F4">
        <v>464.59</v>
      </c>
      <c r="G4" t="s">
        <v>103</v>
      </c>
      <c r="H4" t="s">
        <v>118</v>
      </c>
    </row>
    <row r="5" spans="1:8" hidden="1" x14ac:dyDescent="0.35">
      <c r="A5">
        <v>13</v>
      </c>
      <c r="B5" t="s">
        <v>6</v>
      </c>
      <c r="C5" t="s">
        <v>7</v>
      </c>
      <c r="D5" t="s">
        <v>8</v>
      </c>
      <c r="E5" t="s">
        <v>9</v>
      </c>
      <c r="F5">
        <v>464.59</v>
      </c>
      <c r="G5" t="s">
        <v>103</v>
      </c>
      <c r="H5" t="s">
        <v>118</v>
      </c>
    </row>
    <row r="6" spans="1:8" hidden="1" x14ac:dyDescent="0.35">
      <c r="A6">
        <v>17</v>
      </c>
      <c r="B6" t="s">
        <v>6</v>
      </c>
      <c r="C6" t="s">
        <v>10</v>
      </c>
      <c r="D6" t="s">
        <v>11</v>
      </c>
      <c r="E6" t="s">
        <v>12</v>
      </c>
      <c r="F6">
        <v>74.69</v>
      </c>
      <c r="G6" t="s">
        <v>120</v>
      </c>
      <c r="H6" t="s">
        <v>135</v>
      </c>
    </row>
    <row r="7" spans="1:8" hidden="1" x14ac:dyDescent="0.35">
      <c r="A7">
        <v>20</v>
      </c>
      <c r="B7" t="s">
        <v>6</v>
      </c>
      <c r="C7" t="s">
        <v>10</v>
      </c>
      <c r="D7" t="s">
        <v>11</v>
      </c>
      <c r="E7" t="s">
        <v>12</v>
      </c>
      <c r="F7">
        <v>74.69</v>
      </c>
      <c r="G7" t="s">
        <v>120</v>
      </c>
      <c r="H7" t="s">
        <v>135</v>
      </c>
    </row>
    <row r="8" spans="1:8" hidden="1" x14ac:dyDescent="0.35">
      <c r="A8">
        <v>23</v>
      </c>
      <c r="B8" t="s">
        <v>6</v>
      </c>
      <c r="C8" t="s">
        <v>10</v>
      </c>
      <c r="D8" t="s">
        <v>11</v>
      </c>
      <c r="E8" t="s">
        <v>12</v>
      </c>
      <c r="F8">
        <v>74.69</v>
      </c>
      <c r="G8" t="s">
        <v>120</v>
      </c>
      <c r="H8" t="s">
        <v>135</v>
      </c>
    </row>
    <row r="9" spans="1:8" hidden="1" x14ac:dyDescent="0.35">
      <c r="A9">
        <v>26</v>
      </c>
      <c r="B9" t="s">
        <v>6</v>
      </c>
      <c r="C9" t="s">
        <v>13</v>
      </c>
      <c r="D9" t="s">
        <v>14</v>
      </c>
      <c r="E9" t="s">
        <v>15</v>
      </c>
      <c r="F9">
        <v>86.56</v>
      </c>
      <c r="G9" t="s">
        <v>120</v>
      </c>
      <c r="H9" t="s">
        <v>136</v>
      </c>
    </row>
    <row r="10" spans="1:8" hidden="1" x14ac:dyDescent="0.35">
      <c r="A10">
        <v>29</v>
      </c>
      <c r="B10" t="s">
        <v>6</v>
      </c>
      <c r="C10" t="s">
        <v>13</v>
      </c>
      <c r="D10" t="s">
        <v>14</v>
      </c>
      <c r="E10" t="s">
        <v>15</v>
      </c>
      <c r="F10">
        <v>86.56</v>
      </c>
      <c r="G10" t="s">
        <v>120</v>
      </c>
      <c r="H10" t="s">
        <v>136</v>
      </c>
    </row>
    <row r="11" spans="1:8" x14ac:dyDescent="0.35">
      <c r="A11">
        <v>32</v>
      </c>
      <c r="B11" t="s">
        <v>6</v>
      </c>
      <c r="C11" t="s">
        <v>16</v>
      </c>
      <c r="D11" t="s">
        <v>17</v>
      </c>
      <c r="E11" t="s">
        <v>18</v>
      </c>
      <c r="F11">
        <v>77.56</v>
      </c>
      <c r="G11" t="s">
        <v>119</v>
      </c>
      <c r="H11" t="s">
        <v>137</v>
      </c>
    </row>
    <row r="12" spans="1:8" x14ac:dyDescent="0.35">
      <c r="A12">
        <v>34</v>
      </c>
      <c r="B12" t="s">
        <v>6</v>
      </c>
      <c r="C12" t="s">
        <v>16</v>
      </c>
      <c r="D12" t="s">
        <v>17</v>
      </c>
      <c r="E12" t="s">
        <v>18</v>
      </c>
      <c r="F12">
        <v>77.56</v>
      </c>
      <c r="G12" t="s">
        <v>119</v>
      </c>
      <c r="H12" t="s">
        <v>137</v>
      </c>
    </row>
    <row r="13" spans="1:8" x14ac:dyDescent="0.35">
      <c r="A13">
        <v>36</v>
      </c>
      <c r="B13" t="s">
        <v>6</v>
      </c>
      <c r="C13" t="s">
        <v>16</v>
      </c>
      <c r="D13" t="s">
        <v>17</v>
      </c>
      <c r="E13" t="s">
        <v>18</v>
      </c>
      <c r="F13">
        <v>77.56</v>
      </c>
      <c r="G13" t="s">
        <v>119</v>
      </c>
      <c r="H13" t="s">
        <v>137</v>
      </c>
    </row>
    <row r="14" spans="1:8" x14ac:dyDescent="0.35">
      <c r="A14">
        <v>38</v>
      </c>
      <c r="B14" t="s">
        <v>6</v>
      </c>
      <c r="C14" t="s">
        <v>16</v>
      </c>
      <c r="D14" t="s">
        <v>17</v>
      </c>
      <c r="E14" t="s">
        <v>18</v>
      </c>
      <c r="F14">
        <v>77.56</v>
      </c>
      <c r="G14" t="s">
        <v>119</v>
      </c>
      <c r="H14" t="s">
        <v>137</v>
      </c>
    </row>
    <row r="15" spans="1:8" x14ac:dyDescent="0.35">
      <c r="A15">
        <v>40</v>
      </c>
      <c r="B15" t="s">
        <v>6</v>
      </c>
      <c r="C15" t="s">
        <v>19</v>
      </c>
      <c r="D15" t="s">
        <v>20</v>
      </c>
      <c r="E15" t="s">
        <v>21</v>
      </c>
      <c r="F15">
        <v>1091.96</v>
      </c>
      <c r="G15" t="s">
        <v>119</v>
      </c>
      <c r="H15" t="s">
        <v>138</v>
      </c>
    </row>
    <row r="16" spans="1:8" hidden="1" x14ac:dyDescent="0.35">
      <c r="A16">
        <v>42</v>
      </c>
      <c r="B16" t="s">
        <v>22</v>
      </c>
      <c r="C16" t="s">
        <v>23</v>
      </c>
      <c r="D16" t="s">
        <v>24</v>
      </c>
      <c r="E16" t="s">
        <v>25</v>
      </c>
      <c r="F16">
        <v>605.76</v>
      </c>
      <c r="G16" t="s">
        <v>103</v>
      </c>
      <c r="H16" t="s">
        <v>115</v>
      </c>
    </row>
    <row r="17" spans="1:8" hidden="1" x14ac:dyDescent="0.35">
      <c r="A17">
        <v>98</v>
      </c>
      <c r="B17" t="s">
        <v>22</v>
      </c>
      <c r="C17" t="s">
        <v>23</v>
      </c>
      <c r="D17" t="s">
        <v>24</v>
      </c>
      <c r="E17" t="s">
        <v>25</v>
      </c>
      <c r="F17">
        <v>605.76</v>
      </c>
      <c r="G17" t="s">
        <v>103</v>
      </c>
      <c r="H17" t="s">
        <v>116</v>
      </c>
    </row>
    <row r="18" spans="1:8" hidden="1" x14ac:dyDescent="0.35">
      <c r="A18">
        <v>154</v>
      </c>
      <c r="B18" t="s">
        <v>6</v>
      </c>
      <c r="C18" t="s">
        <v>26</v>
      </c>
      <c r="D18" t="s">
        <v>27</v>
      </c>
      <c r="E18" t="s">
        <v>28</v>
      </c>
      <c r="F18">
        <v>259.48</v>
      </c>
      <c r="G18" t="s">
        <v>103</v>
      </c>
      <c r="H18" t="s">
        <v>131</v>
      </c>
    </row>
    <row r="19" spans="1:8" hidden="1" x14ac:dyDescent="0.35">
      <c r="A19">
        <v>191</v>
      </c>
      <c r="B19" t="s">
        <v>6</v>
      </c>
      <c r="C19" t="s">
        <v>26</v>
      </c>
      <c r="D19" t="s">
        <v>27</v>
      </c>
      <c r="E19" t="s">
        <v>28</v>
      </c>
      <c r="F19">
        <v>259.48</v>
      </c>
      <c r="G19" t="s">
        <v>103</v>
      </c>
      <c r="H19" t="s">
        <v>131</v>
      </c>
    </row>
    <row r="20" spans="1:8" hidden="1" x14ac:dyDescent="0.35">
      <c r="A20">
        <v>228</v>
      </c>
      <c r="B20" t="s">
        <v>6</v>
      </c>
      <c r="C20" t="s">
        <v>26</v>
      </c>
      <c r="D20" t="s">
        <v>27</v>
      </c>
      <c r="E20" t="s">
        <v>28</v>
      </c>
      <c r="F20">
        <v>259.48</v>
      </c>
      <c r="G20" t="s">
        <v>103</v>
      </c>
      <c r="H20" t="s">
        <v>132</v>
      </c>
    </row>
    <row r="21" spans="1:8" hidden="1" x14ac:dyDescent="0.35">
      <c r="A21">
        <v>265</v>
      </c>
      <c r="B21" t="s">
        <v>6</v>
      </c>
      <c r="C21" t="s">
        <v>26</v>
      </c>
      <c r="D21" t="s">
        <v>27</v>
      </c>
      <c r="E21" t="s">
        <v>28</v>
      </c>
      <c r="F21">
        <v>259.48</v>
      </c>
      <c r="G21" t="s">
        <v>103</v>
      </c>
      <c r="H21" t="s">
        <v>132</v>
      </c>
    </row>
    <row r="22" spans="1:8" hidden="1" x14ac:dyDescent="0.35">
      <c r="A22">
        <v>302</v>
      </c>
      <c r="B22" t="s">
        <v>6</v>
      </c>
      <c r="C22" t="s">
        <v>29</v>
      </c>
      <c r="D22" t="s">
        <v>30</v>
      </c>
      <c r="E22" t="s">
        <v>31</v>
      </c>
      <c r="F22">
        <v>210</v>
      </c>
      <c r="G22" t="s">
        <v>120</v>
      </c>
      <c r="H22" t="s">
        <v>133</v>
      </c>
    </row>
    <row r="23" spans="1:8" hidden="1" x14ac:dyDescent="0.35">
      <c r="A23">
        <v>338</v>
      </c>
      <c r="B23" t="s">
        <v>6</v>
      </c>
      <c r="C23" t="s">
        <v>29</v>
      </c>
      <c r="D23" t="s">
        <v>30</v>
      </c>
      <c r="E23" t="s">
        <v>31</v>
      </c>
      <c r="F23">
        <v>210</v>
      </c>
      <c r="G23" t="s">
        <v>120</v>
      </c>
      <c r="H23" t="s">
        <v>133</v>
      </c>
    </row>
    <row r="24" spans="1:8" hidden="1" x14ac:dyDescent="0.35">
      <c r="A24">
        <v>374</v>
      </c>
      <c r="B24" t="s">
        <v>6</v>
      </c>
      <c r="C24" t="s">
        <v>29</v>
      </c>
      <c r="D24" t="s">
        <v>30</v>
      </c>
      <c r="E24" t="s">
        <v>32</v>
      </c>
      <c r="F24">
        <v>386.86</v>
      </c>
      <c r="G24" t="s">
        <v>120</v>
      </c>
      <c r="H24" t="s">
        <v>133</v>
      </c>
    </row>
    <row r="25" spans="1:8" hidden="1" x14ac:dyDescent="0.35">
      <c r="A25">
        <v>426</v>
      </c>
      <c r="B25" t="s">
        <v>6</v>
      </c>
      <c r="C25" t="s">
        <v>29</v>
      </c>
      <c r="D25" t="s">
        <v>30</v>
      </c>
      <c r="E25" t="s">
        <v>32</v>
      </c>
      <c r="F25">
        <v>386.86</v>
      </c>
      <c r="G25" t="s">
        <v>120</v>
      </c>
      <c r="H25" t="s">
        <v>134</v>
      </c>
    </row>
    <row r="26" spans="1:8" hidden="1" x14ac:dyDescent="0.35">
      <c r="A26">
        <v>478</v>
      </c>
      <c r="B26" t="s">
        <v>6</v>
      </c>
      <c r="C26" t="s">
        <v>29</v>
      </c>
      <c r="D26" t="s">
        <v>30</v>
      </c>
      <c r="E26" t="s">
        <v>32</v>
      </c>
      <c r="F26">
        <v>386.86</v>
      </c>
      <c r="G26" t="s">
        <v>120</v>
      </c>
      <c r="H26" t="s">
        <v>134</v>
      </c>
    </row>
    <row r="27" spans="1:8" hidden="1" x14ac:dyDescent="0.35">
      <c r="A27">
        <v>530</v>
      </c>
      <c r="B27" t="s">
        <v>6</v>
      </c>
      <c r="C27" t="s">
        <v>33</v>
      </c>
      <c r="D27" t="s">
        <v>34</v>
      </c>
      <c r="E27" t="s">
        <v>35</v>
      </c>
      <c r="F27">
        <v>47.81</v>
      </c>
      <c r="G27" t="s">
        <v>120</v>
      </c>
      <c r="H27" t="s">
        <v>141</v>
      </c>
    </row>
    <row r="28" spans="1:8" hidden="1" x14ac:dyDescent="0.35">
      <c r="A28">
        <v>536</v>
      </c>
      <c r="B28" t="s">
        <v>6</v>
      </c>
      <c r="C28" t="s">
        <v>33</v>
      </c>
      <c r="D28" t="s">
        <v>34</v>
      </c>
      <c r="E28" t="s">
        <v>35</v>
      </c>
      <c r="F28">
        <v>47.81</v>
      </c>
      <c r="G28" t="s">
        <v>120</v>
      </c>
      <c r="H28" t="s">
        <v>141</v>
      </c>
    </row>
    <row r="29" spans="1:8" hidden="1" x14ac:dyDescent="0.35">
      <c r="A29">
        <v>542</v>
      </c>
      <c r="B29" t="s">
        <v>6</v>
      </c>
      <c r="C29" t="s">
        <v>36</v>
      </c>
      <c r="D29" t="s">
        <v>37</v>
      </c>
      <c r="E29" t="s">
        <v>38</v>
      </c>
      <c r="F29">
        <v>82.07</v>
      </c>
      <c r="G29" t="s">
        <v>103</v>
      </c>
      <c r="H29" t="s">
        <v>124</v>
      </c>
    </row>
    <row r="30" spans="1:8" hidden="1" x14ac:dyDescent="0.35">
      <c r="A30">
        <v>547</v>
      </c>
      <c r="B30" t="s">
        <v>6</v>
      </c>
      <c r="C30" t="s">
        <v>36</v>
      </c>
      <c r="D30" t="s">
        <v>37</v>
      </c>
      <c r="E30" t="s">
        <v>38</v>
      </c>
      <c r="F30">
        <v>82.07</v>
      </c>
      <c r="G30" t="s">
        <v>103</v>
      </c>
      <c r="H30" t="s">
        <v>124</v>
      </c>
    </row>
    <row r="31" spans="1:8" hidden="1" x14ac:dyDescent="0.35">
      <c r="A31">
        <v>552</v>
      </c>
      <c r="B31" t="s">
        <v>6</v>
      </c>
      <c r="C31" t="s">
        <v>36</v>
      </c>
      <c r="D31" t="s">
        <v>37</v>
      </c>
      <c r="E31" t="s">
        <v>38</v>
      </c>
      <c r="F31">
        <v>82.07</v>
      </c>
      <c r="G31" t="s">
        <v>103</v>
      </c>
      <c r="H31" t="s">
        <v>125</v>
      </c>
    </row>
    <row r="32" spans="1:8" hidden="1" x14ac:dyDescent="0.35">
      <c r="A32">
        <v>557</v>
      </c>
      <c r="B32" t="s">
        <v>6</v>
      </c>
      <c r="C32" t="s">
        <v>36</v>
      </c>
      <c r="D32" t="s">
        <v>37</v>
      </c>
      <c r="E32" t="s">
        <v>38</v>
      </c>
      <c r="F32">
        <v>82.07</v>
      </c>
      <c r="G32" t="s">
        <v>103</v>
      </c>
      <c r="H32" t="s">
        <v>125</v>
      </c>
    </row>
    <row r="33" spans="1:8" hidden="1" x14ac:dyDescent="0.35">
      <c r="A33">
        <v>562</v>
      </c>
      <c r="B33" t="s">
        <v>6</v>
      </c>
      <c r="C33" t="s">
        <v>39</v>
      </c>
      <c r="D33" t="s">
        <v>40</v>
      </c>
      <c r="E33" t="s">
        <v>41</v>
      </c>
      <c r="F33">
        <v>90.68</v>
      </c>
      <c r="G33" t="s">
        <v>120</v>
      </c>
      <c r="H33" t="s">
        <v>128</v>
      </c>
    </row>
    <row r="34" spans="1:8" hidden="1" x14ac:dyDescent="0.35">
      <c r="A34">
        <v>567</v>
      </c>
      <c r="B34" t="s">
        <v>6</v>
      </c>
      <c r="C34" t="s">
        <v>39</v>
      </c>
      <c r="D34" t="s">
        <v>40</v>
      </c>
      <c r="E34" t="s">
        <v>41</v>
      </c>
      <c r="F34">
        <v>90.68</v>
      </c>
      <c r="G34" t="s">
        <v>120</v>
      </c>
      <c r="H34" t="s">
        <v>128</v>
      </c>
    </row>
    <row r="35" spans="1:8" hidden="1" x14ac:dyDescent="0.35">
      <c r="A35">
        <v>572</v>
      </c>
      <c r="B35" t="s">
        <v>6</v>
      </c>
      <c r="C35" t="s">
        <v>39</v>
      </c>
      <c r="D35" t="s">
        <v>40</v>
      </c>
      <c r="E35" t="s">
        <v>42</v>
      </c>
      <c r="F35">
        <v>171.77</v>
      </c>
      <c r="G35" t="s">
        <v>120</v>
      </c>
      <c r="H35" t="s">
        <v>126</v>
      </c>
    </row>
    <row r="36" spans="1:8" hidden="1" x14ac:dyDescent="0.35">
      <c r="A36">
        <v>577</v>
      </c>
      <c r="B36" t="s">
        <v>6</v>
      </c>
      <c r="C36" t="s">
        <v>39</v>
      </c>
      <c r="D36" t="s">
        <v>40</v>
      </c>
      <c r="E36" t="s">
        <v>43</v>
      </c>
      <c r="F36">
        <v>169.19</v>
      </c>
      <c r="G36" t="s">
        <v>120</v>
      </c>
      <c r="H36" t="s">
        <v>127</v>
      </c>
    </row>
    <row r="37" spans="1:8" hidden="1" x14ac:dyDescent="0.35">
      <c r="A37">
        <v>582</v>
      </c>
      <c r="B37" t="s">
        <v>6</v>
      </c>
      <c r="C37" t="s">
        <v>39</v>
      </c>
      <c r="D37" t="s">
        <v>40</v>
      </c>
      <c r="E37" t="s">
        <v>42</v>
      </c>
      <c r="F37">
        <v>171.77</v>
      </c>
      <c r="G37" t="s">
        <v>120</v>
      </c>
      <c r="H37" t="s">
        <v>126</v>
      </c>
    </row>
    <row r="38" spans="1:8" hidden="1" x14ac:dyDescent="0.35">
      <c r="A38">
        <v>587</v>
      </c>
      <c r="B38" t="s">
        <v>6</v>
      </c>
      <c r="C38" t="s">
        <v>44</v>
      </c>
      <c r="D38" t="s">
        <v>45</v>
      </c>
      <c r="E38" t="s">
        <v>46</v>
      </c>
      <c r="F38">
        <v>989.91</v>
      </c>
      <c r="G38" t="s">
        <v>120</v>
      </c>
      <c r="H38" t="s">
        <v>129</v>
      </c>
    </row>
    <row r="39" spans="1:8" hidden="1" x14ac:dyDescent="0.35">
      <c r="A39">
        <v>662</v>
      </c>
      <c r="B39" t="s">
        <v>6</v>
      </c>
      <c r="C39" t="s">
        <v>47</v>
      </c>
      <c r="D39" t="s">
        <v>48</v>
      </c>
      <c r="E39" t="s">
        <v>49</v>
      </c>
      <c r="F39">
        <v>1619.63</v>
      </c>
      <c r="G39" t="s">
        <v>120</v>
      </c>
      <c r="H39" t="s">
        <v>130</v>
      </c>
    </row>
    <row r="40" spans="1:8" hidden="1" x14ac:dyDescent="0.35">
      <c r="A40">
        <v>760</v>
      </c>
      <c r="B40" t="s">
        <v>6</v>
      </c>
      <c r="C40" t="s">
        <v>50</v>
      </c>
      <c r="D40" t="s">
        <v>51</v>
      </c>
      <c r="E40" t="s">
        <v>52</v>
      </c>
      <c r="F40">
        <v>65.17</v>
      </c>
      <c r="G40" t="s">
        <v>103</v>
      </c>
      <c r="H40" t="s">
        <v>106</v>
      </c>
    </row>
    <row r="41" spans="1:8" hidden="1" x14ac:dyDescent="0.35">
      <c r="A41">
        <v>763</v>
      </c>
      <c r="B41" t="s">
        <v>6</v>
      </c>
      <c r="C41" t="s">
        <v>50</v>
      </c>
      <c r="D41" t="s">
        <v>51</v>
      </c>
      <c r="E41" t="s">
        <v>52</v>
      </c>
      <c r="F41">
        <v>65.17</v>
      </c>
      <c r="G41" t="s">
        <v>103</v>
      </c>
      <c r="H41" t="s">
        <v>106</v>
      </c>
    </row>
    <row r="42" spans="1:8" hidden="1" x14ac:dyDescent="0.35">
      <c r="A42">
        <v>766</v>
      </c>
      <c r="B42" t="s">
        <v>6</v>
      </c>
      <c r="C42" t="s">
        <v>50</v>
      </c>
      <c r="D42" t="s">
        <v>51</v>
      </c>
      <c r="E42" t="s">
        <v>53</v>
      </c>
      <c r="F42">
        <v>107.9</v>
      </c>
      <c r="G42" t="s">
        <v>103</v>
      </c>
      <c r="H42" t="s">
        <v>106</v>
      </c>
    </row>
    <row r="43" spans="1:8" hidden="1" x14ac:dyDescent="0.35">
      <c r="A43">
        <v>769</v>
      </c>
      <c r="B43" t="s">
        <v>6</v>
      </c>
      <c r="C43" t="s">
        <v>50</v>
      </c>
      <c r="D43" t="s">
        <v>51</v>
      </c>
      <c r="E43" t="s">
        <v>53</v>
      </c>
      <c r="F43">
        <v>107.9</v>
      </c>
      <c r="G43" t="s">
        <v>103</v>
      </c>
      <c r="H43" t="s">
        <v>106</v>
      </c>
    </row>
    <row r="44" spans="1:8" x14ac:dyDescent="0.35">
      <c r="A44">
        <v>772</v>
      </c>
      <c r="B44" t="s">
        <v>6</v>
      </c>
      <c r="C44" t="s">
        <v>50</v>
      </c>
      <c r="D44" t="s">
        <v>51</v>
      </c>
      <c r="E44" t="s">
        <v>54</v>
      </c>
      <c r="F44">
        <v>1122.06</v>
      </c>
      <c r="G44" t="s">
        <v>119</v>
      </c>
      <c r="H44" t="s">
        <v>106</v>
      </c>
    </row>
    <row r="45" spans="1:8" x14ac:dyDescent="0.35">
      <c r="A45">
        <v>775</v>
      </c>
      <c r="B45" t="s">
        <v>6</v>
      </c>
      <c r="C45" t="s">
        <v>50</v>
      </c>
      <c r="D45" t="s">
        <v>51</v>
      </c>
      <c r="E45" t="s">
        <v>54</v>
      </c>
      <c r="F45">
        <v>1122.06</v>
      </c>
      <c r="G45" t="s">
        <v>119</v>
      </c>
      <c r="H45" t="s">
        <v>106</v>
      </c>
    </row>
    <row r="46" spans="1:8" x14ac:dyDescent="0.35">
      <c r="A46">
        <v>778</v>
      </c>
      <c r="B46" t="s">
        <v>6</v>
      </c>
      <c r="C46" t="s">
        <v>50</v>
      </c>
      <c r="D46" t="s">
        <v>51</v>
      </c>
      <c r="E46" t="s">
        <v>55</v>
      </c>
      <c r="F46">
        <v>197.64</v>
      </c>
      <c r="G46" t="s">
        <v>119</v>
      </c>
      <c r="H46" t="s">
        <v>105</v>
      </c>
    </row>
    <row r="47" spans="1:8" hidden="1" x14ac:dyDescent="0.35">
      <c r="A47">
        <v>781</v>
      </c>
      <c r="B47" t="s">
        <v>6</v>
      </c>
      <c r="C47" t="s">
        <v>56</v>
      </c>
      <c r="D47" t="s">
        <v>57</v>
      </c>
      <c r="E47" t="s">
        <v>58</v>
      </c>
      <c r="F47">
        <v>188.51</v>
      </c>
      <c r="G47" t="s">
        <v>120</v>
      </c>
      <c r="H47" t="s">
        <v>121</v>
      </c>
    </row>
    <row r="48" spans="1:8" hidden="1" x14ac:dyDescent="0.35">
      <c r="A48">
        <v>784</v>
      </c>
      <c r="B48" t="s">
        <v>6</v>
      </c>
      <c r="C48" t="s">
        <v>56</v>
      </c>
      <c r="D48" t="s">
        <v>57</v>
      </c>
      <c r="E48" t="s">
        <v>59</v>
      </c>
      <c r="F48">
        <v>185.92</v>
      </c>
      <c r="G48" t="s">
        <v>120</v>
      </c>
      <c r="H48" t="s">
        <v>121</v>
      </c>
    </row>
    <row r="49" spans="1:8" x14ac:dyDescent="0.35">
      <c r="A49">
        <v>787</v>
      </c>
      <c r="B49" t="s">
        <v>6</v>
      </c>
      <c r="C49" t="s">
        <v>56</v>
      </c>
      <c r="D49" t="s">
        <v>57</v>
      </c>
      <c r="E49" t="s">
        <v>60</v>
      </c>
      <c r="F49">
        <v>247.45</v>
      </c>
      <c r="G49" t="s">
        <v>119</v>
      </c>
      <c r="H49" t="s">
        <v>121</v>
      </c>
    </row>
    <row r="50" spans="1:8" x14ac:dyDescent="0.35">
      <c r="A50">
        <v>790</v>
      </c>
      <c r="B50" t="s">
        <v>6</v>
      </c>
      <c r="C50" t="s">
        <v>56</v>
      </c>
      <c r="D50" t="s">
        <v>57</v>
      </c>
      <c r="E50" t="s">
        <v>61</v>
      </c>
      <c r="F50">
        <v>282.33999999999997</v>
      </c>
      <c r="G50" t="s">
        <v>119</v>
      </c>
      <c r="H50" t="s">
        <v>121</v>
      </c>
    </row>
    <row r="51" spans="1:8" x14ac:dyDescent="0.35">
      <c r="A51">
        <v>793</v>
      </c>
      <c r="B51" t="s">
        <v>6</v>
      </c>
      <c r="C51" t="s">
        <v>56</v>
      </c>
      <c r="D51" t="s">
        <v>57</v>
      </c>
      <c r="E51" t="s">
        <v>61</v>
      </c>
      <c r="F51">
        <v>282.33999999999997</v>
      </c>
      <c r="G51" t="s">
        <v>119</v>
      </c>
      <c r="H51" t="s">
        <v>121</v>
      </c>
    </row>
    <row r="52" spans="1:8" hidden="1" x14ac:dyDescent="0.35">
      <c r="A52">
        <v>796</v>
      </c>
      <c r="B52" t="s">
        <v>6</v>
      </c>
      <c r="C52" t="s">
        <v>62</v>
      </c>
      <c r="D52" t="s">
        <v>63</v>
      </c>
      <c r="E52" t="s">
        <v>64</v>
      </c>
      <c r="F52">
        <v>295.82</v>
      </c>
      <c r="G52" t="s">
        <v>103</v>
      </c>
      <c r="H52" t="s">
        <v>109</v>
      </c>
    </row>
    <row r="53" spans="1:8" hidden="1" x14ac:dyDescent="0.35">
      <c r="A53">
        <v>800</v>
      </c>
      <c r="B53" t="s">
        <v>6</v>
      </c>
      <c r="C53" t="s">
        <v>62</v>
      </c>
      <c r="D53" t="s">
        <v>63</v>
      </c>
      <c r="E53" t="s">
        <v>65</v>
      </c>
      <c r="F53">
        <v>220.96</v>
      </c>
      <c r="G53" t="s">
        <v>103</v>
      </c>
      <c r="H53" t="s">
        <v>110</v>
      </c>
    </row>
    <row r="54" spans="1:8" hidden="1" x14ac:dyDescent="0.35">
      <c r="A54">
        <v>804</v>
      </c>
      <c r="B54" t="s">
        <v>6</v>
      </c>
      <c r="C54" t="s">
        <v>62</v>
      </c>
      <c r="D54" t="s">
        <v>63</v>
      </c>
      <c r="E54" t="s">
        <v>65</v>
      </c>
      <c r="F54">
        <v>220.96</v>
      </c>
      <c r="G54" t="s">
        <v>103</v>
      </c>
      <c r="H54" t="s">
        <v>110</v>
      </c>
    </row>
    <row r="55" spans="1:8" hidden="1" x14ac:dyDescent="0.35">
      <c r="A55">
        <v>808</v>
      </c>
      <c r="B55" t="s">
        <v>6</v>
      </c>
      <c r="C55" t="s">
        <v>62</v>
      </c>
      <c r="D55" t="s">
        <v>63</v>
      </c>
      <c r="E55" t="s">
        <v>64</v>
      </c>
      <c r="F55">
        <v>295.82</v>
      </c>
      <c r="G55" t="s">
        <v>103</v>
      </c>
      <c r="H55" t="s">
        <v>112</v>
      </c>
    </row>
    <row r="56" spans="1:8" hidden="1" x14ac:dyDescent="0.35">
      <c r="A56">
        <v>812</v>
      </c>
      <c r="B56" t="s">
        <v>6</v>
      </c>
      <c r="C56" t="s">
        <v>62</v>
      </c>
      <c r="D56" t="s">
        <v>63</v>
      </c>
      <c r="E56" t="s">
        <v>64</v>
      </c>
      <c r="F56">
        <v>295.82</v>
      </c>
      <c r="G56" t="s">
        <v>103</v>
      </c>
      <c r="H56" t="s">
        <v>111</v>
      </c>
    </row>
    <row r="57" spans="1:8" hidden="1" x14ac:dyDescent="0.35">
      <c r="A57">
        <v>816</v>
      </c>
      <c r="B57" t="s">
        <v>6</v>
      </c>
      <c r="C57" t="s">
        <v>62</v>
      </c>
      <c r="D57" t="s">
        <v>63</v>
      </c>
      <c r="E57" t="s">
        <v>65</v>
      </c>
      <c r="F57">
        <v>220.96</v>
      </c>
      <c r="G57" t="s">
        <v>103</v>
      </c>
      <c r="H57" t="s">
        <v>113</v>
      </c>
    </row>
    <row r="58" spans="1:8" hidden="1" x14ac:dyDescent="0.35">
      <c r="A58">
        <v>820</v>
      </c>
      <c r="B58" t="s">
        <v>6</v>
      </c>
      <c r="C58" t="s">
        <v>62</v>
      </c>
      <c r="D58" t="s">
        <v>63</v>
      </c>
      <c r="E58" t="s">
        <v>65</v>
      </c>
      <c r="F58">
        <v>220.96</v>
      </c>
      <c r="G58" t="s">
        <v>103</v>
      </c>
      <c r="H58" t="s">
        <v>113</v>
      </c>
    </row>
    <row r="59" spans="1:8" hidden="1" x14ac:dyDescent="0.35">
      <c r="A59">
        <v>824</v>
      </c>
      <c r="B59" t="s">
        <v>6</v>
      </c>
      <c r="C59" t="s">
        <v>62</v>
      </c>
      <c r="D59" t="s">
        <v>63</v>
      </c>
      <c r="E59" t="s">
        <v>64</v>
      </c>
      <c r="F59">
        <v>295.82</v>
      </c>
      <c r="G59" t="s">
        <v>103</v>
      </c>
      <c r="H59" t="s">
        <v>114</v>
      </c>
    </row>
    <row r="60" spans="1:8" hidden="1" x14ac:dyDescent="0.35">
      <c r="A60">
        <v>828</v>
      </c>
      <c r="B60" t="s">
        <v>6</v>
      </c>
      <c r="C60" t="s">
        <v>66</v>
      </c>
      <c r="D60" t="s">
        <v>67</v>
      </c>
      <c r="E60" t="s">
        <v>68</v>
      </c>
      <c r="F60">
        <v>196.31</v>
      </c>
      <c r="G60" t="s">
        <v>120</v>
      </c>
      <c r="H60" t="s">
        <v>122</v>
      </c>
    </row>
    <row r="61" spans="1:8" hidden="1" x14ac:dyDescent="0.35">
      <c r="A61">
        <v>832</v>
      </c>
      <c r="B61" t="s">
        <v>6</v>
      </c>
      <c r="C61" t="s">
        <v>66</v>
      </c>
      <c r="D61" t="s">
        <v>67</v>
      </c>
      <c r="E61" t="s">
        <v>68</v>
      </c>
      <c r="F61">
        <v>196.31</v>
      </c>
      <c r="G61" t="s">
        <v>120</v>
      </c>
      <c r="H61" t="s">
        <v>122</v>
      </c>
    </row>
    <row r="62" spans="1:8" hidden="1" x14ac:dyDescent="0.35">
      <c r="A62">
        <v>836</v>
      </c>
      <c r="B62" t="s">
        <v>6</v>
      </c>
      <c r="C62" t="s">
        <v>66</v>
      </c>
      <c r="D62" t="s">
        <v>67</v>
      </c>
      <c r="E62" t="s">
        <v>68</v>
      </c>
      <c r="F62">
        <v>196.31</v>
      </c>
      <c r="G62" t="s">
        <v>120</v>
      </c>
      <c r="H62" t="s">
        <v>122</v>
      </c>
    </row>
    <row r="63" spans="1:8" hidden="1" x14ac:dyDescent="0.35">
      <c r="A63">
        <v>840</v>
      </c>
      <c r="B63" t="s">
        <v>6</v>
      </c>
      <c r="C63" t="s">
        <v>66</v>
      </c>
      <c r="D63" t="s">
        <v>67</v>
      </c>
      <c r="E63" t="s">
        <v>68</v>
      </c>
      <c r="F63">
        <v>196.31</v>
      </c>
      <c r="G63" t="s">
        <v>120</v>
      </c>
      <c r="H63" t="s">
        <v>122</v>
      </c>
    </row>
    <row r="64" spans="1:8" hidden="1" x14ac:dyDescent="0.35">
      <c r="A64">
        <v>844</v>
      </c>
      <c r="B64" t="s">
        <v>6</v>
      </c>
      <c r="C64" t="s">
        <v>66</v>
      </c>
      <c r="D64" t="s">
        <v>67</v>
      </c>
      <c r="E64" t="s">
        <v>68</v>
      </c>
      <c r="F64">
        <v>196.31</v>
      </c>
      <c r="G64" t="s">
        <v>120</v>
      </c>
      <c r="H64" t="s">
        <v>122</v>
      </c>
    </row>
    <row r="65" spans="1:8" hidden="1" x14ac:dyDescent="0.35">
      <c r="A65">
        <v>848</v>
      </c>
      <c r="B65" t="s">
        <v>6</v>
      </c>
      <c r="C65" t="s">
        <v>66</v>
      </c>
      <c r="D65" t="s">
        <v>67</v>
      </c>
      <c r="E65" t="s">
        <v>68</v>
      </c>
      <c r="F65">
        <v>196.31</v>
      </c>
      <c r="G65" t="s">
        <v>120</v>
      </c>
      <c r="H65" t="s">
        <v>122</v>
      </c>
    </row>
    <row r="66" spans="1:8" hidden="1" x14ac:dyDescent="0.35">
      <c r="A66">
        <v>852</v>
      </c>
      <c r="B66" t="s">
        <v>6</v>
      </c>
      <c r="C66" t="s">
        <v>66</v>
      </c>
      <c r="D66" t="s">
        <v>67</v>
      </c>
      <c r="E66" t="s">
        <v>69</v>
      </c>
      <c r="F66">
        <v>2202.7600000000002</v>
      </c>
      <c r="G66" t="s">
        <v>120</v>
      </c>
      <c r="H66" t="s">
        <v>122</v>
      </c>
    </row>
    <row r="67" spans="1:8" s="2" customFormat="1" hidden="1" x14ac:dyDescent="0.35">
      <c r="A67" s="2">
        <v>856</v>
      </c>
      <c r="B67" s="2" t="s">
        <v>6</v>
      </c>
      <c r="C67" s="2" t="s">
        <v>70</v>
      </c>
      <c r="D67" s="2" t="s">
        <v>71</v>
      </c>
      <c r="E67" s="2" t="s">
        <v>72</v>
      </c>
      <c r="F67" s="2">
        <v>863</v>
      </c>
      <c r="G67" s="2" t="s">
        <v>120</v>
      </c>
      <c r="H67" s="2" t="s">
        <v>122</v>
      </c>
    </row>
    <row r="68" spans="1:8" hidden="1" x14ac:dyDescent="0.35">
      <c r="A68">
        <v>860</v>
      </c>
      <c r="B68" t="s">
        <v>6</v>
      </c>
      <c r="C68" t="s">
        <v>73</v>
      </c>
      <c r="D68" t="s">
        <v>74</v>
      </c>
      <c r="E68" t="s">
        <v>75</v>
      </c>
      <c r="F68">
        <v>119.42</v>
      </c>
      <c r="G68" t="s">
        <v>120</v>
      </c>
      <c r="H68" t="s">
        <v>105</v>
      </c>
    </row>
    <row r="69" spans="1:8" x14ac:dyDescent="0.35">
      <c r="A69">
        <v>864</v>
      </c>
      <c r="B69" t="s">
        <v>6</v>
      </c>
      <c r="C69" t="s">
        <v>73</v>
      </c>
      <c r="D69" t="s">
        <v>74</v>
      </c>
      <c r="E69" t="s">
        <v>76</v>
      </c>
      <c r="F69">
        <v>251.3</v>
      </c>
      <c r="G69" t="s">
        <v>119</v>
      </c>
      <c r="H69" t="s">
        <v>105</v>
      </c>
    </row>
    <row r="70" spans="1:8" x14ac:dyDescent="0.35">
      <c r="A70">
        <v>868</v>
      </c>
      <c r="B70" t="s">
        <v>6</v>
      </c>
      <c r="C70" t="s">
        <v>73</v>
      </c>
      <c r="D70" t="s">
        <v>74</v>
      </c>
      <c r="E70" t="s">
        <v>77</v>
      </c>
      <c r="F70">
        <v>533.54</v>
      </c>
      <c r="G70" t="s">
        <v>119</v>
      </c>
      <c r="H70" t="s">
        <v>105</v>
      </c>
    </row>
    <row r="71" spans="1:8" hidden="1" x14ac:dyDescent="0.35">
      <c r="A71">
        <v>872</v>
      </c>
      <c r="B71" t="s">
        <v>6</v>
      </c>
      <c r="C71" t="s">
        <v>73</v>
      </c>
      <c r="D71" t="s">
        <v>74</v>
      </c>
      <c r="E71" t="s">
        <v>78</v>
      </c>
      <c r="F71">
        <v>1240.92</v>
      </c>
      <c r="G71" t="s">
        <v>103</v>
      </c>
      <c r="H71" t="s">
        <v>105</v>
      </c>
    </row>
    <row r="72" spans="1:8" hidden="1" x14ac:dyDescent="0.35">
      <c r="A72">
        <v>876</v>
      </c>
      <c r="B72" t="s">
        <v>6</v>
      </c>
      <c r="C72" t="s">
        <v>73</v>
      </c>
      <c r="D72" t="s">
        <v>74</v>
      </c>
      <c r="E72" t="s">
        <v>78</v>
      </c>
      <c r="F72">
        <v>1240.92</v>
      </c>
      <c r="G72" t="s">
        <v>103</v>
      </c>
      <c r="H72" t="s">
        <v>105</v>
      </c>
    </row>
    <row r="73" spans="1:8" hidden="1" x14ac:dyDescent="0.35">
      <c r="A73">
        <v>880</v>
      </c>
      <c r="B73" t="s">
        <v>6</v>
      </c>
      <c r="C73" t="s">
        <v>73</v>
      </c>
      <c r="D73" t="s">
        <v>74</v>
      </c>
      <c r="E73" t="s">
        <v>79</v>
      </c>
      <c r="F73">
        <v>91.81</v>
      </c>
      <c r="G73" t="s">
        <v>103</v>
      </c>
      <c r="H73" t="s">
        <v>105</v>
      </c>
    </row>
    <row r="74" spans="1:8" hidden="1" x14ac:dyDescent="0.35">
      <c r="A74">
        <v>884</v>
      </c>
      <c r="B74" t="s">
        <v>6</v>
      </c>
      <c r="C74" t="s">
        <v>73</v>
      </c>
      <c r="D74" t="s">
        <v>74</v>
      </c>
      <c r="E74" t="s">
        <v>79</v>
      </c>
      <c r="F74">
        <v>91.81</v>
      </c>
      <c r="G74" t="s">
        <v>103</v>
      </c>
      <c r="H74" t="s">
        <v>105</v>
      </c>
    </row>
    <row r="75" spans="1:8" hidden="1" x14ac:dyDescent="0.35">
      <c r="A75">
        <v>888</v>
      </c>
      <c r="B75" t="s">
        <v>6</v>
      </c>
      <c r="C75" t="s">
        <v>73</v>
      </c>
      <c r="D75" t="s">
        <v>74</v>
      </c>
      <c r="E75" t="s">
        <v>79</v>
      </c>
      <c r="F75">
        <v>91.81</v>
      </c>
      <c r="G75" t="s">
        <v>103</v>
      </c>
      <c r="H75" t="s">
        <v>105</v>
      </c>
    </row>
    <row r="76" spans="1:8" hidden="1" x14ac:dyDescent="0.35">
      <c r="A76">
        <v>892</v>
      </c>
      <c r="B76" t="s">
        <v>6</v>
      </c>
      <c r="C76" t="s">
        <v>73</v>
      </c>
      <c r="D76" t="s">
        <v>74</v>
      </c>
      <c r="E76" t="s">
        <v>79</v>
      </c>
      <c r="F76">
        <v>91.81</v>
      </c>
      <c r="G76" t="s">
        <v>103</v>
      </c>
      <c r="H76" t="s">
        <v>105</v>
      </c>
    </row>
    <row r="77" spans="1:8" hidden="1" x14ac:dyDescent="0.35">
      <c r="A77">
        <v>896</v>
      </c>
      <c r="B77" t="s">
        <v>6</v>
      </c>
      <c r="C77" t="s">
        <v>73</v>
      </c>
      <c r="D77" t="s">
        <v>74</v>
      </c>
      <c r="E77" t="s">
        <v>80</v>
      </c>
      <c r="F77">
        <v>247.24</v>
      </c>
      <c r="G77" t="s">
        <v>103</v>
      </c>
      <c r="H77" t="s">
        <v>105</v>
      </c>
    </row>
    <row r="78" spans="1:8" hidden="1" x14ac:dyDescent="0.35">
      <c r="A78">
        <v>900</v>
      </c>
      <c r="B78" t="s">
        <v>6</v>
      </c>
      <c r="C78" t="s">
        <v>73</v>
      </c>
      <c r="D78" t="s">
        <v>74</v>
      </c>
      <c r="E78" t="s">
        <v>80</v>
      </c>
      <c r="F78">
        <v>247.24</v>
      </c>
      <c r="G78" t="s">
        <v>103</v>
      </c>
      <c r="H78" t="s">
        <v>105</v>
      </c>
    </row>
    <row r="79" spans="1:8" x14ac:dyDescent="0.35">
      <c r="A79">
        <v>904</v>
      </c>
      <c r="B79" t="s">
        <v>6</v>
      </c>
      <c r="C79" t="s">
        <v>73</v>
      </c>
      <c r="D79" t="s">
        <v>74</v>
      </c>
      <c r="E79" t="s">
        <v>81</v>
      </c>
      <c r="F79">
        <v>115.3</v>
      </c>
      <c r="G79" t="s">
        <v>119</v>
      </c>
      <c r="H79" t="s">
        <v>105</v>
      </c>
    </row>
    <row r="80" spans="1:8" x14ac:dyDescent="0.35">
      <c r="A80">
        <v>908</v>
      </c>
      <c r="B80" t="s">
        <v>6</v>
      </c>
      <c r="C80" t="s">
        <v>73</v>
      </c>
      <c r="D80" t="s">
        <v>74</v>
      </c>
      <c r="E80" t="s">
        <v>82</v>
      </c>
      <c r="F80">
        <v>245.18</v>
      </c>
      <c r="G80" t="s">
        <v>119</v>
      </c>
      <c r="H80" t="s">
        <v>105</v>
      </c>
    </row>
    <row r="81" spans="1:8" x14ac:dyDescent="0.35">
      <c r="A81">
        <v>912</v>
      </c>
      <c r="B81" t="s">
        <v>6</v>
      </c>
      <c r="C81" t="s">
        <v>73</v>
      </c>
      <c r="D81" t="s">
        <v>74</v>
      </c>
      <c r="E81" t="s">
        <v>82</v>
      </c>
      <c r="F81">
        <v>245.18</v>
      </c>
      <c r="G81" t="s">
        <v>119</v>
      </c>
      <c r="H81" t="s">
        <v>105</v>
      </c>
    </row>
    <row r="82" spans="1:8" x14ac:dyDescent="0.35">
      <c r="A82">
        <v>916</v>
      </c>
      <c r="B82" t="s">
        <v>6</v>
      </c>
      <c r="C82" t="s">
        <v>73</v>
      </c>
      <c r="D82" t="s">
        <v>74</v>
      </c>
      <c r="E82" t="s">
        <v>82</v>
      </c>
      <c r="F82">
        <v>245.18</v>
      </c>
      <c r="G82" t="s">
        <v>119</v>
      </c>
      <c r="H82" t="s">
        <v>105</v>
      </c>
    </row>
    <row r="83" spans="1:8" x14ac:dyDescent="0.35">
      <c r="A83">
        <v>920</v>
      </c>
      <c r="B83" t="s">
        <v>6</v>
      </c>
      <c r="C83" t="s">
        <v>73</v>
      </c>
      <c r="D83" t="s">
        <v>74</v>
      </c>
      <c r="E83" t="s">
        <v>82</v>
      </c>
      <c r="F83">
        <v>245.18</v>
      </c>
      <c r="G83" t="s">
        <v>119</v>
      </c>
      <c r="H83" t="s">
        <v>105</v>
      </c>
    </row>
    <row r="84" spans="1:8" x14ac:dyDescent="0.35">
      <c r="A84">
        <v>924</v>
      </c>
      <c r="B84" t="s">
        <v>6</v>
      </c>
      <c r="C84" t="s">
        <v>73</v>
      </c>
      <c r="D84" t="s">
        <v>74</v>
      </c>
      <c r="E84" t="s">
        <v>83</v>
      </c>
      <c r="F84">
        <v>399.59</v>
      </c>
      <c r="G84" t="s">
        <v>119</v>
      </c>
      <c r="H84" t="s">
        <v>105</v>
      </c>
    </row>
    <row r="85" spans="1:8" x14ac:dyDescent="0.35">
      <c r="A85">
        <v>928</v>
      </c>
      <c r="B85" t="s">
        <v>6</v>
      </c>
      <c r="C85" t="s">
        <v>73</v>
      </c>
      <c r="D85" t="s">
        <v>74</v>
      </c>
      <c r="E85" t="s">
        <v>84</v>
      </c>
      <c r="F85">
        <v>55.3</v>
      </c>
      <c r="G85" t="s">
        <v>119</v>
      </c>
      <c r="H85" t="s">
        <v>105</v>
      </c>
    </row>
    <row r="86" spans="1:8" x14ac:dyDescent="0.35">
      <c r="A86">
        <v>932</v>
      </c>
      <c r="B86" t="s">
        <v>6</v>
      </c>
      <c r="C86" t="s">
        <v>73</v>
      </c>
      <c r="D86" t="s">
        <v>74</v>
      </c>
      <c r="E86" t="s">
        <v>84</v>
      </c>
      <c r="F86">
        <v>55.3</v>
      </c>
      <c r="G86" t="s">
        <v>119</v>
      </c>
      <c r="H86" t="s">
        <v>105</v>
      </c>
    </row>
    <row r="87" spans="1:8" x14ac:dyDescent="0.35">
      <c r="A87">
        <v>936</v>
      </c>
      <c r="B87" t="s">
        <v>6</v>
      </c>
      <c r="C87" t="s">
        <v>73</v>
      </c>
      <c r="D87" t="s">
        <v>74</v>
      </c>
      <c r="E87" t="s">
        <v>85</v>
      </c>
      <c r="F87">
        <v>446.04</v>
      </c>
      <c r="G87" t="s">
        <v>119</v>
      </c>
      <c r="H87" t="s">
        <v>105</v>
      </c>
    </row>
    <row r="88" spans="1:8" x14ac:dyDescent="0.35">
      <c r="A88">
        <v>940</v>
      </c>
      <c r="B88" t="s">
        <v>6</v>
      </c>
      <c r="C88" t="s">
        <v>73</v>
      </c>
      <c r="D88" t="s">
        <v>74</v>
      </c>
      <c r="E88" t="s">
        <v>83</v>
      </c>
      <c r="F88">
        <v>399.59</v>
      </c>
      <c r="G88" t="s">
        <v>119</v>
      </c>
      <c r="H88" t="s">
        <v>105</v>
      </c>
    </row>
    <row r="89" spans="1:8" x14ac:dyDescent="0.35">
      <c r="A89">
        <v>944</v>
      </c>
      <c r="B89" t="s">
        <v>6</v>
      </c>
      <c r="C89" t="s">
        <v>73</v>
      </c>
      <c r="D89" t="s">
        <v>74</v>
      </c>
      <c r="E89" t="s">
        <v>83</v>
      </c>
      <c r="F89">
        <v>399.59</v>
      </c>
      <c r="G89" t="s">
        <v>119</v>
      </c>
      <c r="H89" t="s">
        <v>105</v>
      </c>
    </row>
    <row r="90" spans="1:8" hidden="1" x14ac:dyDescent="0.35">
      <c r="A90">
        <v>948</v>
      </c>
      <c r="B90" t="s">
        <v>6</v>
      </c>
      <c r="C90" t="s">
        <v>86</v>
      </c>
      <c r="D90" t="s">
        <v>87</v>
      </c>
      <c r="E90" t="s">
        <v>88</v>
      </c>
      <c r="F90">
        <v>169.82</v>
      </c>
      <c r="G90" t="s">
        <v>103</v>
      </c>
      <c r="H90" t="s">
        <v>108</v>
      </c>
    </row>
    <row r="91" spans="1:8" hidden="1" x14ac:dyDescent="0.35">
      <c r="A91">
        <v>952</v>
      </c>
      <c r="B91" t="s">
        <v>6</v>
      </c>
      <c r="C91" t="s">
        <v>86</v>
      </c>
      <c r="D91" t="s">
        <v>87</v>
      </c>
      <c r="E91" t="s">
        <v>88</v>
      </c>
      <c r="F91">
        <v>169.82</v>
      </c>
      <c r="G91" t="s">
        <v>103</v>
      </c>
      <c r="H91" t="s">
        <v>108</v>
      </c>
    </row>
    <row r="92" spans="1:8" hidden="1" x14ac:dyDescent="0.35">
      <c r="A92">
        <v>956</v>
      </c>
      <c r="B92" t="s">
        <v>6</v>
      </c>
      <c r="C92" t="s">
        <v>86</v>
      </c>
      <c r="D92" t="s">
        <v>87</v>
      </c>
      <c r="E92" t="s">
        <v>89</v>
      </c>
      <c r="F92">
        <v>1416.48</v>
      </c>
      <c r="G92" t="s">
        <v>103</v>
      </c>
      <c r="H92" t="s">
        <v>104</v>
      </c>
    </row>
    <row r="93" spans="1:8" hidden="1" x14ac:dyDescent="0.35">
      <c r="A93">
        <v>960</v>
      </c>
      <c r="B93" t="s">
        <v>6</v>
      </c>
      <c r="C93" t="s">
        <v>86</v>
      </c>
      <c r="D93" t="s">
        <v>87</v>
      </c>
      <c r="E93" t="s">
        <v>89</v>
      </c>
      <c r="F93">
        <v>1416.48</v>
      </c>
      <c r="G93" t="s">
        <v>103</v>
      </c>
      <c r="H93" t="s">
        <v>104</v>
      </c>
    </row>
    <row r="94" spans="1:8" hidden="1" x14ac:dyDescent="0.35">
      <c r="A94">
        <v>964</v>
      </c>
      <c r="B94" t="s">
        <v>6</v>
      </c>
      <c r="C94" t="s">
        <v>90</v>
      </c>
      <c r="D94" t="s">
        <v>91</v>
      </c>
      <c r="E94" t="s">
        <v>92</v>
      </c>
      <c r="F94">
        <v>34.020000000000003</v>
      </c>
      <c r="G94" t="s">
        <v>103</v>
      </c>
      <c r="H94" t="s">
        <v>107</v>
      </c>
    </row>
    <row r="95" spans="1:8" hidden="1" x14ac:dyDescent="0.35">
      <c r="A95">
        <v>967</v>
      </c>
      <c r="B95" t="s">
        <v>6</v>
      </c>
      <c r="C95" t="s">
        <v>90</v>
      </c>
      <c r="D95" t="s">
        <v>91</v>
      </c>
      <c r="E95" t="s">
        <v>92</v>
      </c>
      <c r="F95">
        <v>34.020000000000003</v>
      </c>
      <c r="G95" t="s">
        <v>103</v>
      </c>
      <c r="H95" t="s">
        <v>107</v>
      </c>
    </row>
    <row r="96" spans="1:8" hidden="1" x14ac:dyDescent="0.35">
      <c r="A96">
        <v>970</v>
      </c>
      <c r="B96" t="s">
        <v>6</v>
      </c>
      <c r="C96" t="s">
        <v>90</v>
      </c>
      <c r="D96" t="s">
        <v>91</v>
      </c>
      <c r="E96" t="s">
        <v>92</v>
      </c>
      <c r="F96">
        <v>34.020000000000003</v>
      </c>
      <c r="G96" t="s">
        <v>103</v>
      </c>
      <c r="H96" t="s">
        <v>107</v>
      </c>
    </row>
    <row r="97" spans="1:8" hidden="1" x14ac:dyDescent="0.35">
      <c r="A97">
        <v>973</v>
      </c>
      <c r="B97" t="s">
        <v>6</v>
      </c>
      <c r="C97" t="s">
        <v>90</v>
      </c>
      <c r="D97" t="s">
        <v>91</v>
      </c>
      <c r="E97" t="s">
        <v>92</v>
      </c>
      <c r="F97">
        <v>34.020000000000003</v>
      </c>
      <c r="G97" t="s">
        <v>103</v>
      </c>
      <c r="H97" t="s">
        <v>107</v>
      </c>
    </row>
    <row r="98" spans="1:8" hidden="1" x14ac:dyDescent="0.35">
      <c r="A98">
        <v>976</v>
      </c>
      <c r="B98" t="s">
        <v>6</v>
      </c>
      <c r="C98" t="s">
        <v>90</v>
      </c>
      <c r="D98" t="s">
        <v>91</v>
      </c>
      <c r="E98" t="s">
        <v>92</v>
      </c>
      <c r="F98">
        <v>34.020000000000003</v>
      </c>
      <c r="G98" t="s">
        <v>103</v>
      </c>
      <c r="H98" t="s">
        <v>107</v>
      </c>
    </row>
    <row r="99" spans="1:8" hidden="1" x14ac:dyDescent="0.35">
      <c r="A99">
        <v>979</v>
      </c>
      <c r="B99" t="s">
        <v>6</v>
      </c>
      <c r="C99" t="s">
        <v>90</v>
      </c>
      <c r="D99" t="s">
        <v>91</v>
      </c>
      <c r="E99" t="s">
        <v>92</v>
      </c>
      <c r="F99">
        <v>34.020000000000003</v>
      </c>
      <c r="G99" t="s">
        <v>103</v>
      </c>
      <c r="H99" t="s">
        <v>107</v>
      </c>
    </row>
    <row r="100" spans="1:8" hidden="1" x14ac:dyDescent="0.35">
      <c r="A100">
        <v>982</v>
      </c>
      <c r="B100" t="s">
        <v>6</v>
      </c>
      <c r="C100" t="s">
        <v>93</v>
      </c>
      <c r="D100" t="s">
        <v>94</v>
      </c>
      <c r="E100" t="s">
        <v>95</v>
      </c>
      <c r="F100">
        <v>2155.0100000000002</v>
      </c>
      <c r="G100" t="s">
        <v>120</v>
      </c>
      <c r="H100" t="s">
        <v>139</v>
      </c>
    </row>
    <row r="101" spans="1:8" hidden="1" x14ac:dyDescent="0.35">
      <c r="A101">
        <v>1057</v>
      </c>
      <c r="B101" t="s">
        <v>6</v>
      </c>
      <c r="C101" t="s">
        <v>96</v>
      </c>
      <c r="D101" t="s">
        <v>97</v>
      </c>
      <c r="E101" t="s">
        <v>98</v>
      </c>
      <c r="F101">
        <v>2155.58</v>
      </c>
      <c r="G101" t="s">
        <v>120</v>
      </c>
      <c r="H101" t="s">
        <v>123</v>
      </c>
    </row>
    <row r="102" spans="1:8" hidden="1" x14ac:dyDescent="0.35">
      <c r="A102">
        <v>1068</v>
      </c>
      <c r="B102" t="s">
        <v>22</v>
      </c>
      <c r="C102" t="s">
        <v>99</v>
      </c>
      <c r="D102" t="s">
        <v>100</v>
      </c>
      <c r="E102" t="s">
        <v>101</v>
      </c>
      <c r="F102">
        <v>215.46</v>
      </c>
      <c r="G102" t="s">
        <v>103</v>
      </c>
      <c r="H102" t="s">
        <v>140</v>
      </c>
    </row>
    <row r="103" spans="1:8" hidden="1" x14ac:dyDescent="0.35">
      <c r="A103">
        <v>1070</v>
      </c>
      <c r="B103" t="s">
        <v>22</v>
      </c>
      <c r="C103" t="s">
        <v>99</v>
      </c>
      <c r="D103" t="s">
        <v>100</v>
      </c>
      <c r="E103" t="s">
        <v>101</v>
      </c>
      <c r="F103">
        <v>215.46</v>
      </c>
      <c r="G103" t="s">
        <v>103</v>
      </c>
      <c r="H103" t="s">
        <v>140</v>
      </c>
    </row>
    <row r="104" spans="1:8" hidden="1" x14ac:dyDescent="0.35">
      <c r="A104">
        <v>1072</v>
      </c>
      <c r="B104" t="s">
        <v>22</v>
      </c>
      <c r="C104" t="s">
        <v>99</v>
      </c>
      <c r="D104" t="s">
        <v>100</v>
      </c>
      <c r="E104" t="s">
        <v>101</v>
      </c>
      <c r="F104">
        <v>215.46</v>
      </c>
      <c r="G104" t="s">
        <v>103</v>
      </c>
      <c r="H104" t="s">
        <v>140</v>
      </c>
    </row>
    <row r="105" spans="1:8" hidden="1" x14ac:dyDescent="0.35">
      <c r="A105">
        <v>1074</v>
      </c>
      <c r="B105" t="s">
        <v>22</v>
      </c>
      <c r="C105" t="s">
        <v>99</v>
      </c>
      <c r="D105" t="s">
        <v>100</v>
      </c>
      <c r="E105" t="s">
        <v>101</v>
      </c>
      <c r="F105">
        <v>215.46</v>
      </c>
      <c r="G105" t="s">
        <v>103</v>
      </c>
      <c r="H105" t="s">
        <v>140</v>
      </c>
    </row>
    <row r="106" spans="1:8" x14ac:dyDescent="0.35">
      <c r="E106">
        <f>SUBTOTAL(9,E11:E89)</f>
        <v>0</v>
      </c>
      <c r="F106">
        <f>SUBTOTAL(9,F11:F89)</f>
        <v>8292.3600000000024</v>
      </c>
    </row>
  </sheetData>
  <autoFilter ref="A1:H105" xr:uid="{00000000-0001-0000-0000-000000000000}">
    <filterColumn colId="6">
      <filters>
        <filter val="Vista 2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04FC-E2B3-451A-A56E-5D3AC08C61C8}">
  <dimension ref="A1:L25"/>
  <sheetViews>
    <sheetView tabSelected="1" zoomScale="145" zoomScaleNormal="145" workbookViewId="0">
      <selection activeCell="G24" sqref="G24"/>
    </sheetView>
  </sheetViews>
  <sheetFormatPr defaultRowHeight="14.5" x14ac:dyDescent="0.35"/>
  <cols>
    <col min="1" max="1" width="8.7265625" style="1"/>
    <col min="2" max="2" width="46" style="1" customWidth="1"/>
    <col min="3" max="3" width="49.26953125" style="1" customWidth="1"/>
    <col min="4" max="4" width="13" style="1" customWidth="1"/>
    <col min="8" max="8" width="47.6328125" customWidth="1"/>
    <col min="13" max="13" width="46" customWidth="1"/>
  </cols>
  <sheetData>
    <row r="1" spans="1:12" x14ac:dyDescent="0.35">
      <c r="A1" s="3" t="s">
        <v>176</v>
      </c>
      <c r="B1" s="3" t="s">
        <v>175</v>
      </c>
      <c r="C1" s="3" t="s">
        <v>3</v>
      </c>
      <c r="D1" s="3" t="s">
        <v>174</v>
      </c>
      <c r="E1" s="5" t="s">
        <v>177</v>
      </c>
      <c r="I1" s="1"/>
      <c r="J1" s="1"/>
      <c r="K1" s="1"/>
      <c r="L1" s="1"/>
    </row>
    <row r="2" spans="1:12" x14ac:dyDescent="0.35">
      <c r="A2" s="4">
        <v>1</v>
      </c>
      <c r="B2" s="3" t="s">
        <v>145</v>
      </c>
      <c r="C2" s="3" t="s">
        <v>8</v>
      </c>
      <c r="D2" s="3">
        <f>COUNTIF(Sheet1!D:D,produto!C2)</f>
        <v>4</v>
      </c>
      <c r="E2" t="s">
        <v>178</v>
      </c>
    </row>
    <row r="3" spans="1:12" x14ac:dyDescent="0.35">
      <c r="A3" s="4">
        <v>2</v>
      </c>
      <c r="B3" s="3" t="s">
        <v>147</v>
      </c>
      <c r="C3" s="3" t="s">
        <v>11</v>
      </c>
      <c r="D3" s="3">
        <f>COUNTIF(Sheet1!D:D,produto!C3)</f>
        <v>3</v>
      </c>
      <c r="E3" t="s">
        <v>179</v>
      </c>
    </row>
    <row r="4" spans="1:12" x14ac:dyDescent="0.35">
      <c r="A4" s="4">
        <v>3</v>
      </c>
      <c r="B4" s="3" t="s">
        <v>146</v>
      </c>
      <c r="C4" s="3" t="s">
        <v>14</v>
      </c>
      <c r="D4" s="3">
        <f>COUNTIF(Sheet1!D:D,produto!C4)</f>
        <v>2</v>
      </c>
      <c r="E4" t="s">
        <v>180</v>
      </c>
    </row>
    <row r="5" spans="1:12" x14ac:dyDescent="0.35">
      <c r="A5" s="4">
        <v>4</v>
      </c>
      <c r="B5" s="3" t="s">
        <v>148</v>
      </c>
      <c r="C5" s="3" t="s">
        <v>17</v>
      </c>
      <c r="D5" s="3">
        <f>COUNTIF(Sheet1!D:D,produto!C5)</f>
        <v>4</v>
      </c>
      <c r="E5" t="s">
        <v>181</v>
      </c>
    </row>
    <row r="6" spans="1:12" x14ac:dyDescent="0.35">
      <c r="A6" s="4">
        <v>5</v>
      </c>
      <c r="B6" s="3" t="s">
        <v>149</v>
      </c>
      <c r="C6" s="3" t="s">
        <v>20</v>
      </c>
      <c r="D6" s="3">
        <f>COUNTIF(Sheet1!D:D,produto!C6)</f>
        <v>1</v>
      </c>
      <c r="E6" t="s">
        <v>182</v>
      </c>
    </row>
    <row r="7" spans="1:12" x14ac:dyDescent="0.35">
      <c r="A7" s="4">
        <v>6</v>
      </c>
      <c r="B7" s="3" t="s">
        <v>150</v>
      </c>
      <c r="C7" s="3" t="s">
        <v>24</v>
      </c>
      <c r="D7" s="3">
        <f>COUNTIF(Sheet1!D:D,produto!C7)</f>
        <v>2</v>
      </c>
      <c r="E7" t="s">
        <v>183</v>
      </c>
    </row>
    <row r="8" spans="1:12" x14ac:dyDescent="0.35">
      <c r="A8" s="4">
        <v>7</v>
      </c>
      <c r="B8" s="3" t="s">
        <v>151</v>
      </c>
      <c r="C8" s="3" t="s">
        <v>27</v>
      </c>
      <c r="D8" s="3">
        <f>COUNTIF(Sheet1!D:D,produto!C8)</f>
        <v>4</v>
      </c>
      <c r="E8" t="s">
        <v>184</v>
      </c>
    </row>
    <row r="9" spans="1:12" x14ac:dyDescent="0.35">
      <c r="A9" s="4">
        <v>8</v>
      </c>
      <c r="B9" s="3" t="s">
        <v>152</v>
      </c>
      <c r="C9" s="3" t="s">
        <v>30</v>
      </c>
      <c r="D9" s="3">
        <f>COUNTIF(Sheet1!D:D,produto!C9)</f>
        <v>5</v>
      </c>
      <c r="E9" t="s">
        <v>185</v>
      </c>
    </row>
    <row r="10" spans="1:12" x14ac:dyDescent="0.35">
      <c r="A10" s="4">
        <v>9</v>
      </c>
      <c r="B10" s="3" t="s">
        <v>153</v>
      </c>
      <c r="C10" s="3" t="s">
        <v>34</v>
      </c>
      <c r="D10" s="3">
        <f>COUNTIF(Sheet1!D:D,produto!C10)</f>
        <v>2</v>
      </c>
    </row>
    <row r="11" spans="1:12" x14ac:dyDescent="0.35">
      <c r="A11" s="4">
        <v>10</v>
      </c>
      <c r="B11" s="3" t="s">
        <v>154</v>
      </c>
      <c r="C11" s="3" t="s">
        <v>37</v>
      </c>
      <c r="D11" s="3">
        <f>COUNTIF(Sheet1!D:D,produto!C11)</f>
        <v>4</v>
      </c>
    </row>
    <row r="12" spans="1:12" x14ac:dyDescent="0.35">
      <c r="A12" s="4">
        <v>11</v>
      </c>
      <c r="B12" s="3" t="s">
        <v>155</v>
      </c>
      <c r="C12" s="3" t="s">
        <v>40</v>
      </c>
      <c r="D12" s="3">
        <f>COUNTIF(Sheet1!D:D,produto!C12)</f>
        <v>5</v>
      </c>
    </row>
    <row r="13" spans="1:12" x14ac:dyDescent="0.35">
      <c r="A13" s="4">
        <v>12</v>
      </c>
      <c r="B13" s="3" t="s">
        <v>156</v>
      </c>
      <c r="C13" s="3" t="s">
        <v>45</v>
      </c>
      <c r="D13" s="3">
        <f>COUNTIF(Sheet1!D:D,produto!C13)</f>
        <v>1</v>
      </c>
      <c r="E13" t="e" vm="1">
        <v>#VALUE!</v>
      </c>
    </row>
    <row r="14" spans="1:12" x14ac:dyDescent="0.35">
      <c r="A14" s="4">
        <v>13</v>
      </c>
      <c r="B14" s="3" t="s">
        <v>157</v>
      </c>
      <c r="C14" s="3" t="s">
        <v>48</v>
      </c>
      <c r="D14" s="3">
        <f>COUNTIF(Sheet1!D:D,produto!C14)</f>
        <v>1</v>
      </c>
      <c r="E14" t="s">
        <v>186</v>
      </c>
    </row>
    <row r="15" spans="1:12" x14ac:dyDescent="0.35">
      <c r="A15" s="4">
        <v>14</v>
      </c>
      <c r="B15" s="3" t="s">
        <v>161</v>
      </c>
      <c r="C15" s="3" t="s">
        <v>51</v>
      </c>
      <c r="D15" s="3">
        <f>COUNTIF(Sheet1!D:D,produto!C15)</f>
        <v>7</v>
      </c>
      <c r="E15" t="s">
        <v>187</v>
      </c>
    </row>
    <row r="16" spans="1:12" x14ac:dyDescent="0.35">
      <c r="A16" s="4">
        <v>15</v>
      </c>
      <c r="B16" s="3" t="s">
        <v>162</v>
      </c>
      <c r="C16" s="3" t="s">
        <v>57</v>
      </c>
      <c r="D16" s="3">
        <f>COUNTIF(Sheet1!D:D,produto!C16)</f>
        <v>5</v>
      </c>
      <c r="E16" t="s">
        <v>187</v>
      </c>
    </row>
    <row r="17" spans="1:5" x14ac:dyDescent="0.35">
      <c r="A17" s="4">
        <v>16</v>
      </c>
      <c r="B17" s="3" t="s">
        <v>158</v>
      </c>
      <c r="C17" s="3" t="s">
        <v>63</v>
      </c>
      <c r="D17" s="3">
        <f>COUNTIF(Sheet1!D:D,produto!C17)</f>
        <v>8</v>
      </c>
    </row>
    <row r="18" spans="1:5" x14ac:dyDescent="0.35">
      <c r="A18" s="4">
        <v>17</v>
      </c>
      <c r="B18" s="3" t="s">
        <v>159</v>
      </c>
      <c r="C18" s="3" t="s">
        <v>67</v>
      </c>
      <c r="D18" s="3">
        <f>COUNTIF(Sheet1!D:D,produto!C18)</f>
        <v>7</v>
      </c>
      <c r="E18" t="s">
        <v>189</v>
      </c>
    </row>
    <row r="19" spans="1:5" x14ac:dyDescent="0.35">
      <c r="A19" s="4">
        <v>18</v>
      </c>
      <c r="B19" s="3" t="s">
        <v>160</v>
      </c>
      <c r="C19" s="3" t="s">
        <v>71</v>
      </c>
      <c r="D19" s="3">
        <f>COUNTIF(Sheet1!D:D,produto!C19)</f>
        <v>1</v>
      </c>
      <c r="E19" t="s">
        <v>189</v>
      </c>
    </row>
    <row r="20" spans="1:5" x14ac:dyDescent="0.35">
      <c r="A20" s="4">
        <v>19</v>
      </c>
      <c r="B20" s="3" t="s">
        <v>74</v>
      </c>
      <c r="C20" s="3" t="s">
        <v>74</v>
      </c>
      <c r="D20" s="3">
        <f>COUNTIF(Sheet1!D:D,produto!C20)</f>
        <v>22</v>
      </c>
      <c r="E20" t="s">
        <v>188</v>
      </c>
    </row>
    <row r="21" spans="1:5" x14ac:dyDescent="0.35">
      <c r="A21" s="4">
        <v>20</v>
      </c>
      <c r="B21" s="3" t="s">
        <v>87</v>
      </c>
      <c r="C21" s="3" t="s">
        <v>87</v>
      </c>
      <c r="D21" s="3">
        <f>COUNTIF(Sheet1!D:D,produto!C21)</f>
        <v>4</v>
      </c>
      <c r="E21" t="s">
        <v>188</v>
      </c>
    </row>
    <row r="22" spans="1:5" x14ac:dyDescent="0.35">
      <c r="A22" s="4">
        <v>21</v>
      </c>
      <c r="B22" s="3" t="s">
        <v>163</v>
      </c>
      <c r="C22" s="3" t="s">
        <v>91</v>
      </c>
      <c r="D22" s="3">
        <f>COUNTIF(Sheet1!D:D,produto!C22)</f>
        <v>6</v>
      </c>
      <c r="E22" t="s">
        <v>188</v>
      </c>
    </row>
    <row r="23" spans="1:5" x14ac:dyDescent="0.35">
      <c r="A23" s="4">
        <v>22</v>
      </c>
      <c r="B23" s="3" t="s">
        <v>123</v>
      </c>
      <c r="C23" s="3" t="s">
        <v>94</v>
      </c>
      <c r="D23" s="3">
        <f>COUNTIF(Sheet1!D:D,produto!C23)</f>
        <v>1</v>
      </c>
      <c r="E23" t="s">
        <v>189</v>
      </c>
    </row>
    <row r="24" spans="1:5" x14ac:dyDescent="0.35">
      <c r="A24" s="4">
        <v>23</v>
      </c>
      <c r="B24" s="3" t="s">
        <v>164</v>
      </c>
      <c r="C24" s="3" t="s">
        <v>97</v>
      </c>
      <c r="D24" s="3">
        <f>COUNTIF(Sheet1!D:D,produto!C24)</f>
        <v>1</v>
      </c>
    </row>
    <row r="25" spans="1:5" x14ac:dyDescent="0.35">
      <c r="A25" s="4">
        <v>24</v>
      </c>
      <c r="B25" s="3" t="s">
        <v>165</v>
      </c>
      <c r="C25" s="3" t="s">
        <v>100</v>
      </c>
      <c r="D25" s="3">
        <f>COUNTIF(Sheet1!D:D,produto!C25)</f>
        <v>4</v>
      </c>
      <c r="E25" t="s">
        <v>190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34F8-D177-48AA-924F-2ED3CAFC6692}">
  <dimension ref="A1:D48"/>
  <sheetViews>
    <sheetView workbookViewId="0">
      <selection activeCell="E2" sqref="E2"/>
    </sheetView>
  </sheetViews>
  <sheetFormatPr defaultRowHeight="14.5" x14ac:dyDescent="0.35"/>
  <cols>
    <col min="1" max="1" width="12.1796875" customWidth="1"/>
    <col min="2" max="2" width="24.08984375" customWidth="1"/>
    <col min="3" max="3" width="18.453125" customWidth="1"/>
    <col min="4" max="4" width="13.6328125" customWidth="1"/>
  </cols>
  <sheetData>
    <row r="1" spans="1:4" x14ac:dyDescent="0.35">
      <c r="A1" s="1" t="s">
        <v>143</v>
      </c>
      <c r="B1" s="1" t="s">
        <v>166</v>
      </c>
      <c r="C1" s="1" t="s">
        <v>144</v>
      </c>
      <c r="D1" s="1" t="s">
        <v>167</v>
      </c>
    </row>
    <row r="2" spans="1:4" x14ac:dyDescent="0.35">
      <c r="A2" s="1">
        <v>1</v>
      </c>
      <c r="B2" s="1" t="s">
        <v>9</v>
      </c>
      <c r="C2" s="1" t="s">
        <v>168</v>
      </c>
      <c r="D2" s="1">
        <v>464.59</v>
      </c>
    </row>
    <row r="3" spans="1:4" x14ac:dyDescent="0.35">
      <c r="A3" s="1">
        <v>2</v>
      </c>
      <c r="B3" s="1" t="s">
        <v>12</v>
      </c>
      <c r="C3" s="1" t="s">
        <v>168</v>
      </c>
      <c r="D3" s="1">
        <v>74.69</v>
      </c>
    </row>
    <row r="4" spans="1:4" x14ac:dyDescent="0.35">
      <c r="A4" s="1">
        <v>3</v>
      </c>
      <c r="B4" s="1" t="s">
        <v>15</v>
      </c>
      <c r="C4" s="1" t="s">
        <v>168</v>
      </c>
      <c r="D4" s="1">
        <v>86.56</v>
      </c>
    </row>
    <row r="5" spans="1:4" x14ac:dyDescent="0.35">
      <c r="A5" s="1">
        <v>4</v>
      </c>
      <c r="B5" s="1" t="s">
        <v>18</v>
      </c>
      <c r="C5" s="1" t="s">
        <v>169</v>
      </c>
      <c r="D5" s="1">
        <v>77.56</v>
      </c>
    </row>
    <row r="6" spans="1:4" x14ac:dyDescent="0.35">
      <c r="A6" s="1">
        <v>5</v>
      </c>
      <c r="B6" s="1" t="s">
        <v>21</v>
      </c>
      <c r="C6" s="1" t="s">
        <v>168</v>
      </c>
      <c r="D6" s="1">
        <v>1091.96</v>
      </c>
    </row>
    <row r="7" spans="1:4" x14ac:dyDescent="0.35">
      <c r="A7" s="1">
        <v>6</v>
      </c>
      <c r="B7" s="1" t="s">
        <v>25</v>
      </c>
      <c r="C7" s="1" t="s">
        <v>171</v>
      </c>
      <c r="D7" s="1">
        <v>605.76</v>
      </c>
    </row>
    <row r="8" spans="1:4" x14ac:dyDescent="0.35">
      <c r="A8" s="1">
        <v>7</v>
      </c>
      <c r="B8" s="1" t="s">
        <v>28</v>
      </c>
      <c r="C8" s="1" t="s">
        <v>171</v>
      </c>
      <c r="D8" s="1">
        <v>259.48</v>
      </c>
    </row>
    <row r="9" spans="1:4" x14ac:dyDescent="0.35">
      <c r="A9" s="1">
        <v>8</v>
      </c>
      <c r="B9" s="1" t="s">
        <v>31</v>
      </c>
      <c r="C9" s="1" t="s">
        <v>170</v>
      </c>
      <c r="D9" s="1">
        <v>210</v>
      </c>
    </row>
    <row r="10" spans="1:4" x14ac:dyDescent="0.35">
      <c r="A10" s="1">
        <v>8</v>
      </c>
      <c r="B10" s="1" t="s">
        <v>32</v>
      </c>
      <c r="C10" s="1" t="s">
        <v>170</v>
      </c>
      <c r="D10" s="1">
        <v>386.86</v>
      </c>
    </row>
    <row r="11" spans="1:4" x14ac:dyDescent="0.35">
      <c r="A11" s="1">
        <v>9</v>
      </c>
      <c r="B11" s="1" t="s">
        <v>35</v>
      </c>
      <c r="C11" s="1" t="s">
        <v>171</v>
      </c>
      <c r="D11" s="1">
        <v>47.81</v>
      </c>
    </row>
    <row r="12" spans="1:4" x14ac:dyDescent="0.35">
      <c r="A12" s="1">
        <v>10</v>
      </c>
      <c r="B12" s="1" t="s">
        <v>38</v>
      </c>
      <c r="C12" s="1" t="s">
        <v>171</v>
      </c>
      <c r="D12" s="1">
        <v>82.07</v>
      </c>
    </row>
    <row r="13" spans="1:4" x14ac:dyDescent="0.35">
      <c r="A13" s="1">
        <v>11</v>
      </c>
      <c r="B13" s="1" t="s">
        <v>41</v>
      </c>
      <c r="C13" s="1" t="s">
        <v>170</v>
      </c>
      <c r="D13" s="1">
        <v>90.68</v>
      </c>
    </row>
    <row r="14" spans="1:4" x14ac:dyDescent="0.35">
      <c r="A14" s="1">
        <v>11</v>
      </c>
      <c r="B14" s="1" t="s">
        <v>42</v>
      </c>
      <c r="C14" s="1" t="s">
        <v>170</v>
      </c>
      <c r="D14" s="1">
        <v>171.77</v>
      </c>
    </row>
    <row r="15" spans="1:4" x14ac:dyDescent="0.35">
      <c r="A15" s="1">
        <v>11</v>
      </c>
      <c r="B15" s="1" t="s">
        <v>43</v>
      </c>
      <c r="C15" s="1" t="s">
        <v>170</v>
      </c>
      <c r="D15" s="1">
        <v>169.19</v>
      </c>
    </row>
    <row r="16" spans="1:4" x14ac:dyDescent="0.35">
      <c r="A16" s="1">
        <v>12</v>
      </c>
      <c r="B16" s="1" t="s">
        <v>46</v>
      </c>
      <c r="C16" s="1" t="s">
        <v>170</v>
      </c>
      <c r="D16" s="1">
        <v>989.91</v>
      </c>
    </row>
    <row r="17" spans="1:4" x14ac:dyDescent="0.35">
      <c r="A17" s="1">
        <v>13</v>
      </c>
      <c r="B17" s="1" t="s">
        <v>49</v>
      </c>
      <c r="C17" s="1" t="s">
        <v>170</v>
      </c>
      <c r="D17" s="1">
        <v>1619.63</v>
      </c>
    </row>
    <row r="18" spans="1:4" x14ac:dyDescent="0.35">
      <c r="A18" s="1">
        <v>14</v>
      </c>
      <c r="B18" s="1" t="s">
        <v>52</v>
      </c>
      <c r="C18" s="1" t="s">
        <v>170</v>
      </c>
      <c r="D18" s="1">
        <v>65.17</v>
      </c>
    </row>
    <row r="19" spans="1:4" x14ac:dyDescent="0.35">
      <c r="A19" s="1">
        <v>14</v>
      </c>
      <c r="B19" s="1" t="s">
        <v>53</v>
      </c>
      <c r="C19" s="1" t="s">
        <v>170</v>
      </c>
      <c r="D19" s="1">
        <v>107.9</v>
      </c>
    </row>
    <row r="20" spans="1:4" x14ac:dyDescent="0.35">
      <c r="A20" s="1">
        <v>14</v>
      </c>
      <c r="B20" s="1" t="s">
        <v>54</v>
      </c>
      <c r="C20" s="1" t="s">
        <v>170</v>
      </c>
      <c r="D20" s="1">
        <v>1122.06</v>
      </c>
    </row>
    <row r="21" spans="1:4" x14ac:dyDescent="0.35">
      <c r="A21" s="1">
        <v>14</v>
      </c>
      <c r="B21" s="1" t="s">
        <v>55</v>
      </c>
      <c r="C21" s="1" t="s">
        <v>170</v>
      </c>
      <c r="D21" s="1">
        <v>197.64</v>
      </c>
    </row>
    <row r="22" spans="1:4" x14ac:dyDescent="0.35">
      <c r="A22" s="1">
        <v>15</v>
      </c>
      <c r="B22" s="1" t="s">
        <v>58</v>
      </c>
      <c r="C22" s="1" t="s">
        <v>172</v>
      </c>
      <c r="D22" s="1">
        <v>188.51</v>
      </c>
    </row>
    <row r="23" spans="1:4" x14ac:dyDescent="0.35">
      <c r="A23" s="1">
        <v>15</v>
      </c>
      <c r="B23" s="1" t="s">
        <v>59</v>
      </c>
      <c r="C23" s="1" t="s">
        <v>172</v>
      </c>
      <c r="D23" s="1">
        <v>185.92</v>
      </c>
    </row>
    <row r="24" spans="1:4" x14ac:dyDescent="0.35">
      <c r="A24" s="1">
        <v>15</v>
      </c>
      <c r="B24" s="1" t="s">
        <v>60</v>
      </c>
      <c r="C24" s="1" t="s">
        <v>172</v>
      </c>
      <c r="D24" s="1">
        <v>247.45</v>
      </c>
    </row>
    <row r="25" spans="1:4" x14ac:dyDescent="0.35">
      <c r="A25" s="1">
        <v>15</v>
      </c>
      <c r="B25" s="1" t="s">
        <v>61</v>
      </c>
      <c r="C25" s="1" t="s">
        <v>172</v>
      </c>
      <c r="D25" s="1">
        <v>282.33999999999997</v>
      </c>
    </row>
    <row r="26" spans="1:4" x14ac:dyDescent="0.35">
      <c r="A26" s="1">
        <v>16</v>
      </c>
      <c r="B26" s="1" t="s">
        <v>64</v>
      </c>
      <c r="C26" s="1" t="s">
        <v>170</v>
      </c>
      <c r="D26" s="1">
        <v>295.82</v>
      </c>
    </row>
    <row r="27" spans="1:4" x14ac:dyDescent="0.35">
      <c r="A27" s="1">
        <v>16</v>
      </c>
      <c r="B27" s="1" t="s">
        <v>65</v>
      </c>
      <c r="C27" s="1" t="s">
        <v>170</v>
      </c>
      <c r="D27" s="1">
        <v>220.96</v>
      </c>
    </row>
    <row r="28" spans="1:4" x14ac:dyDescent="0.35">
      <c r="A28" s="1">
        <v>17</v>
      </c>
      <c r="B28" s="1" t="s">
        <v>68</v>
      </c>
      <c r="C28" s="1" t="s">
        <v>170</v>
      </c>
      <c r="D28" s="1">
        <v>196.31</v>
      </c>
    </row>
    <row r="29" spans="1:4" x14ac:dyDescent="0.35">
      <c r="A29" s="1">
        <v>17</v>
      </c>
      <c r="B29" s="1" t="s">
        <v>69</v>
      </c>
      <c r="C29" s="1" t="s">
        <v>170</v>
      </c>
      <c r="D29" s="1">
        <v>2202.7600000000002</v>
      </c>
    </row>
    <row r="30" spans="1:4" x14ac:dyDescent="0.35">
      <c r="A30" s="1">
        <v>18</v>
      </c>
      <c r="B30" s="1" t="s">
        <v>72</v>
      </c>
      <c r="C30" s="1" t="s">
        <v>173</v>
      </c>
      <c r="D30" s="1">
        <v>863</v>
      </c>
    </row>
    <row r="31" spans="1:4" x14ac:dyDescent="0.35">
      <c r="A31" s="1">
        <v>19</v>
      </c>
      <c r="B31" s="1" t="s">
        <v>75</v>
      </c>
      <c r="C31" s="1" t="s">
        <v>170</v>
      </c>
      <c r="D31" s="1">
        <v>119.42</v>
      </c>
    </row>
    <row r="32" spans="1:4" x14ac:dyDescent="0.35">
      <c r="A32" s="1">
        <v>19</v>
      </c>
      <c r="B32" s="1" t="s">
        <v>76</v>
      </c>
      <c r="C32" s="1" t="s">
        <v>170</v>
      </c>
      <c r="D32" s="1">
        <v>251.3</v>
      </c>
    </row>
    <row r="33" spans="1:4" x14ac:dyDescent="0.35">
      <c r="A33" s="1">
        <v>19</v>
      </c>
      <c r="B33" s="1" t="s">
        <v>77</v>
      </c>
      <c r="C33" s="1" t="s">
        <v>170</v>
      </c>
      <c r="D33" s="1">
        <v>533.54</v>
      </c>
    </row>
    <row r="34" spans="1:4" x14ac:dyDescent="0.35">
      <c r="A34" s="1">
        <v>19</v>
      </c>
      <c r="B34" s="1" t="s">
        <v>78</v>
      </c>
      <c r="C34" s="1" t="s">
        <v>170</v>
      </c>
      <c r="D34" s="1">
        <v>1240.92</v>
      </c>
    </row>
    <row r="35" spans="1:4" x14ac:dyDescent="0.35">
      <c r="A35" s="1">
        <v>19</v>
      </c>
      <c r="B35" s="1" t="s">
        <v>79</v>
      </c>
      <c r="C35" s="1" t="s">
        <v>170</v>
      </c>
      <c r="D35" s="1">
        <v>91.81</v>
      </c>
    </row>
    <row r="36" spans="1:4" x14ac:dyDescent="0.35">
      <c r="A36" s="1">
        <v>19</v>
      </c>
      <c r="B36" s="1" t="s">
        <v>80</v>
      </c>
      <c r="C36" s="1" t="s">
        <v>170</v>
      </c>
      <c r="D36" s="1">
        <v>247.24</v>
      </c>
    </row>
    <row r="37" spans="1:4" x14ac:dyDescent="0.35">
      <c r="A37" s="1">
        <v>19</v>
      </c>
      <c r="B37" s="1" t="s">
        <v>81</v>
      </c>
      <c r="C37" s="1" t="s">
        <v>170</v>
      </c>
      <c r="D37" s="1">
        <v>115.3</v>
      </c>
    </row>
    <row r="38" spans="1:4" x14ac:dyDescent="0.35">
      <c r="A38" s="1">
        <v>19</v>
      </c>
      <c r="B38" s="1" t="s">
        <v>82</v>
      </c>
      <c r="C38" s="1" t="s">
        <v>170</v>
      </c>
      <c r="D38" s="1">
        <v>245.18</v>
      </c>
    </row>
    <row r="39" spans="1:4" x14ac:dyDescent="0.35">
      <c r="A39" s="1">
        <v>19</v>
      </c>
      <c r="B39" s="1" t="s">
        <v>83</v>
      </c>
      <c r="C39" s="1" t="s">
        <v>170</v>
      </c>
      <c r="D39" s="1">
        <v>399.59</v>
      </c>
    </row>
    <row r="40" spans="1:4" x14ac:dyDescent="0.35">
      <c r="A40" s="1">
        <v>19</v>
      </c>
      <c r="B40" s="1" t="s">
        <v>84</v>
      </c>
      <c r="C40" s="1" t="s">
        <v>170</v>
      </c>
      <c r="D40" s="1">
        <v>55.3</v>
      </c>
    </row>
    <row r="41" spans="1:4" x14ac:dyDescent="0.35">
      <c r="A41" s="1">
        <v>19</v>
      </c>
      <c r="B41" s="1" t="s">
        <v>85</v>
      </c>
      <c r="C41" s="1" t="s">
        <v>170</v>
      </c>
      <c r="D41" s="1">
        <v>446.04</v>
      </c>
    </row>
    <row r="42" spans="1:4" x14ac:dyDescent="0.35">
      <c r="A42" s="1">
        <v>19</v>
      </c>
      <c r="B42" s="1" t="s">
        <v>83</v>
      </c>
      <c r="C42" s="1" t="s">
        <v>170</v>
      </c>
      <c r="D42" s="1">
        <v>399.59</v>
      </c>
    </row>
    <row r="43" spans="1:4" x14ac:dyDescent="0.35">
      <c r="A43" s="1">
        <v>20</v>
      </c>
      <c r="B43" s="1" t="s">
        <v>88</v>
      </c>
      <c r="C43" s="1" t="s">
        <v>172</v>
      </c>
      <c r="D43" s="1">
        <v>169.82</v>
      </c>
    </row>
    <row r="44" spans="1:4" x14ac:dyDescent="0.35">
      <c r="A44" s="1">
        <v>20</v>
      </c>
      <c r="B44" s="1" t="s">
        <v>89</v>
      </c>
      <c r="C44" s="1" t="s">
        <v>172</v>
      </c>
      <c r="D44" s="1">
        <v>1416.48</v>
      </c>
    </row>
    <row r="45" spans="1:4" x14ac:dyDescent="0.35">
      <c r="A45" s="1">
        <v>21</v>
      </c>
      <c r="B45" s="1" t="s">
        <v>92</v>
      </c>
      <c r="C45" s="1" t="s">
        <v>173</v>
      </c>
      <c r="D45" s="1">
        <v>34.020000000000003</v>
      </c>
    </row>
    <row r="46" spans="1:4" x14ac:dyDescent="0.35">
      <c r="A46" s="1">
        <v>22</v>
      </c>
      <c r="B46" s="1" t="s">
        <v>95</v>
      </c>
      <c r="C46" s="1" t="s">
        <v>170</v>
      </c>
      <c r="D46" s="1">
        <v>2155.0100000000002</v>
      </c>
    </row>
    <row r="47" spans="1:4" x14ac:dyDescent="0.35">
      <c r="A47" s="1">
        <v>23</v>
      </c>
      <c r="B47" s="1" t="s">
        <v>98</v>
      </c>
      <c r="C47" s="1" t="s">
        <v>170</v>
      </c>
      <c r="D47" s="1">
        <v>2155.58</v>
      </c>
    </row>
    <row r="48" spans="1:4" x14ac:dyDescent="0.35">
      <c r="A48" s="1">
        <v>24</v>
      </c>
      <c r="B48" s="1" t="s">
        <v>101</v>
      </c>
      <c r="C48" s="1" t="s">
        <v>168</v>
      </c>
      <c r="D48" s="1">
        <v>215.46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produto</vt:lpstr>
      <vt:lpstr>possibilidades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Kaylana Prudencio Ferreira</dc:creator>
  <cp:lastModifiedBy>Kaylana Prudencio Ferreira</cp:lastModifiedBy>
  <dcterms:created xsi:type="dcterms:W3CDTF">2015-06-05T18:17:20Z</dcterms:created>
  <dcterms:modified xsi:type="dcterms:W3CDTF">2026-05-14T04:28:36Z</dcterms:modified>
</cp:coreProperties>
</file>